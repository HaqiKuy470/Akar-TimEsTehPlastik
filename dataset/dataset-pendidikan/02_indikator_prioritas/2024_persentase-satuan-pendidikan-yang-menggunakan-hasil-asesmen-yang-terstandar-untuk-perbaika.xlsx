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3FEEC89F-9CC9-40A7-AB2D-8B208E1A78F8}" xr6:coauthVersionLast="47" xr6:coauthVersionMax="47" xr10:uidLastSave="{00000000-0000-0000-0000-000000000000}"/>
  <bookViews>
    <workbookView xWindow="-120" yWindow="-120" windowWidth="29040" windowHeight="15720" xr2:uid="{F715045E-1059-4C34-B01C-72F4F5F33FD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5" i="1"/>
</calcChain>
</file>

<file path=xl/sharedStrings.xml><?xml version="1.0" encoding="utf-8"?>
<sst xmlns="http://schemas.openxmlformats.org/spreadsheetml/2006/main" count="61" uniqueCount="52">
  <si>
    <t>Luar Negeri</t>
  </si>
  <si>
    <t>SD</t>
  </si>
  <si>
    <t>No</t>
  </si>
  <si>
    <t>Kode Kemdagri</t>
  </si>
  <si>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</si>
  <si>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</si>
  <si>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</si>
  <si>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</si>
  <si>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</si>
  <si>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</si>
  <si>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</si>
  <si>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</si>
  <si>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</si>
  <si>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</si>
  <si>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</si>
  <si>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</si>
  <si>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</si>
  <si>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</si>
  <si>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</si>
  <si>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</si>
  <si>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</si>
  <si>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</si>
  <si>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</si>
  <si>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</si>
  <si>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</si>
  <si>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</si>
  <si>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</si>
  <si>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</si>
  <si>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</si>
  <si>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</si>
  <si>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</si>
  <si>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</si>
  <si>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</si>
  <si>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</si>
  <si>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</si>
  <si>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</si>
  <si>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</si>
  <si>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</si>
  <si>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</si>
  <si>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</si>
  <si>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</si>
  <si>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</si>
  <si>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</si>
  <si>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</si>
  <si>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Indonesia</t>
  </si>
  <si>
    <t>Jumlah Satuan Pendidikan</t>
  </si>
  <si>
    <t>Jumlah Satuan Pendidikan Mengunduh Rapor Pendidikan</t>
  </si>
  <si>
    <t>%</t>
  </si>
  <si>
    <t>SMP</t>
  </si>
  <si>
    <t>SMA</t>
  </si>
  <si>
    <t>SMK</t>
  </si>
  <si>
    <t>Persentase satuan pendidikan yang menggunakan hasil asesmen yang terstandar untuk perbaikan pembelajaran, 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</si>
</sst>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165" fontId="2" fillId="0" borderId="3" xfId="1" applyNumberFormat="1" applyFont="1" applyBorder="1" applyAlignment="1">
      <alignment horizontal="right" vertical="center" inden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2" fontId="2" fillId="0" borderId="3" xfId="0" applyNumberFormat="1" applyFont="1" applyBorder="1"/>
    <xf numFmtId="0" fontId="2" fillId="0" borderId="0" xfId="0" applyFont="1"/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216D-2510-41AA-AACC-5391E65C7F36}">
  <dimension ref="A1:P44"/>
  <sheetViews>
    <sheetView tabSelected="1" zoomScaleNormal="100" workbookViewId="0">
      <selection activeCell="H7" sqref="H7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7" customWidth="1"/>
    <col min="5" max="5" width="14.85546875" customWidth="1"/>
    <col min="6" max="6" width="22.85546875" customWidth="1"/>
    <col min="8" max="8" width="15.140625" customWidth="1"/>
    <col min="9" max="9" width="22.85546875" customWidth="1"/>
    <col min="11" max="11" width="15" customWidth="1"/>
    <col min="12" max="12" width="22.85546875" customWidth="1"/>
    <col min="14" max="14" width="14.7109375" customWidth="1"/>
    <col min="15" max="15" width="22.85546875" customWidth="1"/>
  </cols>
  <sheetData>
    <row r="1" spans="1:16" x14ac:dyDescent="0.25">
      <c r="A1" s="9" t="s">
        <v>51</v>
      </c>
    </row>
    <row r="3" spans="1:16" x14ac:dyDescent="0.25">
      <c r="A3" s="11" t="s">
        <v>2</v>
      </c>
      <c r="B3" s="13" t="s">
        <v>3</v>
      </c>
      <c r="C3" s="11" t="s">
        <v>4</v>
      </c>
      <c r="D3" s="15" t="s">
        <v>5</v>
      </c>
      <c r="E3" s="10" t="s">
        <v>1</v>
      </c>
      <c r="F3" s="10"/>
      <c r="G3" s="10"/>
      <c r="H3" s="10" t="s">
        <v>48</v>
      </c>
      <c r="I3" s="10"/>
      <c r="J3" s="10"/>
      <c r="K3" s="10" t="s">
        <v>49</v>
      </c>
      <c r="L3" s="10"/>
      <c r="M3" s="10"/>
      <c r="N3" s="10" t="s">
        <v>50</v>
      </c>
      <c r="O3" s="10"/>
      <c r="P3" s="10"/>
    </row>
    <row r="4" spans="1:16" ht="38.25" x14ac:dyDescent="0.25">
      <c r="A4" s="12"/>
      <c r="B4" s="14"/>
      <c r="C4" s="12"/>
      <c r="D4" s="15"/>
      <c r="E4" s="6" t="s">
        <v>45</v>
      </c>
      <c r="F4" s="6" t="s">
        <v>46</v>
      </c>
      <c r="G4" s="5" t="s">
        <v>47</v>
      </c>
      <c r="H4" s="6" t="s">
        <v>45</v>
      </c>
      <c r="I4" s="6" t="s">
        <v>46</v>
      </c>
      <c r="J4" s="5" t="s">
        <v>47</v>
      </c>
      <c r="K4" s="6" t="s">
        <v>45</v>
      </c>
      <c r="L4" s="6" t="s">
        <v>46</v>
      </c>
      <c r="M4" s="5" t="s">
        <v>47</v>
      </c>
      <c r="N4" s="6" t="s">
        <v>45</v>
      </c>
      <c r="O4" s="6" t="s">
        <v>46</v>
      </c>
      <c r="P4" s="5" t="s">
        <v>47</v>
      </c>
    </row>
    <row r="5" spans="1:16" x14ac:dyDescent="0.25">
      <c r="A5" s="7">
        <v>1</v>
      </c>
      <c r="B5" s="1">
        <v>11</v>
      </c>
      <c r="C5" s="1">
        <v>11</v>
      </c>
      <c r="D5" s="2" t="s">
        <v>6</v>
      </c>
      <c r="E5" s="4">
        <v>3492</v>
      </c>
      <c r="F5" s="4">
        <v>3428</v>
      </c>
      <c r="G5" s="8">
        <f>F5/E5*100</f>
        <v>98.167239404352799</v>
      </c>
      <c r="H5" s="4">
        <v>1252</v>
      </c>
      <c r="I5" s="4">
        <v>1215</v>
      </c>
      <c r="J5" s="8">
        <f>I5/H5*100</f>
        <v>97.04472843450479</v>
      </c>
      <c r="K5" s="4">
        <v>536</v>
      </c>
      <c r="L5" s="4">
        <v>535</v>
      </c>
      <c r="M5" s="8">
        <f>L5/K5*100</f>
        <v>99.81343283582089</v>
      </c>
      <c r="N5" s="4">
        <v>220</v>
      </c>
      <c r="O5" s="4">
        <v>219</v>
      </c>
      <c r="P5" s="8">
        <f>O5/N5*100</f>
        <v>99.545454545454547</v>
      </c>
    </row>
    <row r="6" spans="1:16" x14ac:dyDescent="0.25">
      <c r="A6" s="7">
        <v>2</v>
      </c>
      <c r="B6" s="1">
        <v>12</v>
      </c>
      <c r="C6" s="1">
        <v>12</v>
      </c>
      <c r="D6" s="2" t="s">
        <v>7</v>
      </c>
      <c r="E6" s="4">
        <v>9578</v>
      </c>
      <c r="F6" s="4">
        <v>9539</v>
      </c>
      <c r="G6" s="8">
        <f t="shared" ref="G6:G43" si="0">F6/E6*100</f>
        <v>99.592816871998323</v>
      </c>
      <c r="H6" s="4">
        <v>2623</v>
      </c>
      <c r="I6" s="4">
        <v>2606</v>
      </c>
      <c r="J6" s="8">
        <f t="shared" ref="J6:J43" si="1">I6/H6*100</f>
        <v>99.351887152115907</v>
      </c>
      <c r="K6" s="4">
        <v>1048</v>
      </c>
      <c r="L6" s="4">
        <v>1047</v>
      </c>
      <c r="M6" s="8">
        <f t="shared" ref="M6:M43" si="2">L6/K6*100</f>
        <v>99.904580152671755</v>
      </c>
      <c r="N6" s="4">
        <v>911</v>
      </c>
      <c r="O6" s="4">
        <v>884</v>
      </c>
      <c r="P6" s="8">
        <f t="shared" ref="P6:P43" si="3">O6/N6*100</f>
        <v>97.036223929747536</v>
      </c>
    </row>
    <row r="7" spans="1:16" x14ac:dyDescent="0.25">
      <c r="A7" s="7">
        <v>3</v>
      </c>
      <c r="B7" s="1">
        <v>13</v>
      </c>
      <c r="C7" s="1">
        <v>13</v>
      </c>
      <c r="D7" s="2" t="s">
        <v>8</v>
      </c>
      <c r="E7" s="4">
        <v>4160</v>
      </c>
      <c r="F7" s="4">
        <v>4144</v>
      </c>
      <c r="G7" s="8">
        <f t="shared" si="0"/>
        <v>99.615384615384613</v>
      </c>
      <c r="H7" s="4">
        <v>852</v>
      </c>
      <c r="I7" s="4">
        <v>849</v>
      </c>
      <c r="J7" s="8">
        <f t="shared" si="1"/>
        <v>99.647887323943664</v>
      </c>
      <c r="K7" s="4">
        <v>336</v>
      </c>
      <c r="L7" s="4">
        <v>334</v>
      </c>
      <c r="M7" s="8">
        <f t="shared" si="2"/>
        <v>99.404761904761912</v>
      </c>
      <c r="N7" s="4">
        <v>208</v>
      </c>
      <c r="O7" s="4">
        <v>204</v>
      </c>
      <c r="P7" s="8">
        <f t="shared" si="3"/>
        <v>98.076923076923066</v>
      </c>
    </row>
    <row r="8" spans="1:16" x14ac:dyDescent="0.25">
      <c r="A8" s="7">
        <v>4</v>
      </c>
      <c r="B8" s="1">
        <v>14</v>
      </c>
      <c r="C8" s="1">
        <v>14</v>
      </c>
      <c r="D8" s="2" t="s">
        <v>9</v>
      </c>
      <c r="E8" s="4">
        <v>3730</v>
      </c>
      <c r="F8" s="4">
        <v>3717</v>
      </c>
      <c r="G8" s="8">
        <f t="shared" si="0"/>
        <v>99.651474530831095</v>
      </c>
      <c r="H8" s="4">
        <v>1256</v>
      </c>
      <c r="I8" s="4">
        <v>1256</v>
      </c>
      <c r="J8" s="8">
        <f t="shared" si="1"/>
        <v>100</v>
      </c>
      <c r="K8" s="4">
        <v>447</v>
      </c>
      <c r="L8" s="4">
        <v>446</v>
      </c>
      <c r="M8" s="8">
        <f t="shared" si="2"/>
        <v>99.776286353467555</v>
      </c>
      <c r="N8" s="4">
        <v>287</v>
      </c>
      <c r="O8" s="4">
        <v>283</v>
      </c>
      <c r="P8" s="8">
        <f t="shared" si="3"/>
        <v>98.606271777003485</v>
      </c>
    </row>
    <row r="9" spans="1:16" x14ac:dyDescent="0.25">
      <c r="A9" s="7">
        <v>5</v>
      </c>
      <c r="B9" s="1">
        <v>15</v>
      </c>
      <c r="C9" s="1">
        <v>15</v>
      </c>
      <c r="D9" s="2" t="s">
        <v>10</v>
      </c>
      <c r="E9" s="4">
        <v>2441</v>
      </c>
      <c r="F9" s="4">
        <v>2088</v>
      </c>
      <c r="G9" s="8">
        <f t="shared" si="0"/>
        <v>85.538713641950025</v>
      </c>
      <c r="H9" s="4">
        <v>696</v>
      </c>
      <c r="I9" s="4">
        <v>647</v>
      </c>
      <c r="J9" s="8">
        <f t="shared" si="1"/>
        <v>92.959770114942529</v>
      </c>
      <c r="K9" s="4">
        <v>238</v>
      </c>
      <c r="L9" s="4">
        <v>227</v>
      </c>
      <c r="M9" s="8">
        <f t="shared" si="2"/>
        <v>95.378151260504211</v>
      </c>
      <c r="N9" s="4">
        <v>175</v>
      </c>
      <c r="O9" s="4">
        <v>160</v>
      </c>
      <c r="P9" s="8">
        <f t="shared" si="3"/>
        <v>91.428571428571431</v>
      </c>
    </row>
    <row r="10" spans="1:16" x14ac:dyDescent="0.25">
      <c r="A10" s="7">
        <v>6</v>
      </c>
      <c r="B10" s="1">
        <v>16</v>
      </c>
      <c r="C10" s="1">
        <v>16</v>
      </c>
      <c r="D10" s="2" t="s">
        <v>11</v>
      </c>
      <c r="E10" s="4">
        <v>4647</v>
      </c>
      <c r="F10" s="4">
        <v>4645</v>
      </c>
      <c r="G10" s="8">
        <f t="shared" si="0"/>
        <v>99.956961480525081</v>
      </c>
      <c r="H10" s="4">
        <v>1413</v>
      </c>
      <c r="I10" s="4">
        <v>1410</v>
      </c>
      <c r="J10" s="8">
        <f t="shared" si="1"/>
        <v>99.787685774946922</v>
      </c>
      <c r="K10" s="4">
        <v>598</v>
      </c>
      <c r="L10" s="4">
        <v>598</v>
      </c>
      <c r="M10" s="8">
        <f t="shared" si="2"/>
        <v>100</v>
      </c>
      <c r="N10" s="4">
        <v>293</v>
      </c>
      <c r="O10" s="4">
        <v>292</v>
      </c>
      <c r="P10" s="8">
        <f t="shared" si="3"/>
        <v>99.658703071672349</v>
      </c>
    </row>
    <row r="11" spans="1:16" x14ac:dyDescent="0.25">
      <c r="A11" s="7">
        <v>7</v>
      </c>
      <c r="B11" s="1">
        <v>17</v>
      </c>
      <c r="C11" s="1">
        <v>17</v>
      </c>
      <c r="D11" s="2" t="s">
        <v>12</v>
      </c>
      <c r="E11" s="4">
        <v>1381</v>
      </c>
      <c r="F11" s="4">
        <v>1380</v>
      </c>
      <c r="G11" s="8">
        <f t="shared" si="0"/>
        <v>99.927588703837799</v>
      </c>
      <c r="H11" s="4">
        <v>450</v>
      </c>
      <c r="I11" s="4">
        <v>450</v>
      </c>
      <c r="J11" s="8">
        <f t="shared" si="1"/>
        <v>100</v>
      </c>
      <c r="K11" s="4">
        <v>147</v>
      </c>
      <c r="L11" s="4">
        <v>147</v>
      </c>
      <c r="M11" s="8">
        <f t="shared" si="2"/>
        <v>100</v>
      </c>
      <c r="N11" s="4">
        <v>100</v>
      </c>
      <c r="O11" s="4">
        <v>100</v>
      </c>
      <c r="P11" s="8">
        <f t="shared" si="3"/>
        <v>100</v>
      </c>
    </row>
    <row r="12" spans="1:16" x14ac:dyDescent="0.25">
      <c r="A12" s="7">
        <v>8</v>
      </c>
      <c r="B12" s="1">
        <v>18</v>
      </c>
      <c r="C12" s="1">
        <v>18</v>
      </c>
      <c r="D12" s="2" t="s">
        <v>13</v>
      </c>
      <c r="E12" s="4">
        <v>4687</v>
      </c>
      <c r="F12" s="4">
        <v>4652</v>
      </c>
      <c r="G12" s="8">
        <f t="shared" si="0"/>
        <v>99.253253680392575</v>
      </c>
      <c r="H12" s="4">
        <v>1433</v>
      </c>
      <c r="I12" s="4">
        <v>1413</v>
      </c>
      <c r="J12" s="8">
        <f t="shared" si="1"/>
        <v>98.604326587578512</v>
      </c>
      <c r="K12" s="4">
        <v>522</v>
      </c>
      <c r="L12" s="4">
        <v>522</v>
      </c>
      <c r="M12" s="8">
        <f t="shared" si="2"/>
        <v>100</v>
      </c>
      <c r="N12" s="4">
        <v>474</v>
      </c>
      <c r="O12" s="4">
        <v>470</v>
      </c>
      <c r="P12" s="8">
        <f t="shared" si="3"/>
        <v>99.156118143459921</v>
      </c>
    </row>
    <row r="13" spans="1:16" x14ac:dyDescent="0.25">
      <c r="A13" s="7">
        <v>9</v>
      </c>
      <c r="B13" s="1">
        <v>19</v>
      </c>
      <c r="C13" s="1">
        <v>19</v>
      </c>
      <c r="D13" s="2" t="s">
        <v>14</v>
      </c>
      <c r="E13" s="4">
        <v>824</v>
      </c>
      <c r="F13" s="4">
        <v>824</v>
      </c>
      <c r="G13" s="8">
        <f t="shared" si="0"/>
        <v>100</v>
      </c>
      <c r="H13" s="4">
        <v>226</v>
      </c>
      <c r="I13" s="4">
        <v>226</v>
      </c>
      <c r="J13" s="8">
        <f t="shared" si="1"/>
        <v>100</v>
      </c>
      <c r="K13" s="4">
        <v>70</v>
      </c>
      <c r="L13" s="4">
        <v>70</v>
      </c>
      <c r="M13" s="8">
        <f t="shared" si="2"/>
        <v>100</v>
      </c>
      <c r="N13" s="4">
        <v>58</v>
      </c>
      <c r="O13" s="4">
        <v>58</v>
      </c>
      <c r="P13" s="8">
        <f t="shared" si="3"/>
        <v>100</v>
      </c>
    </row>
    <row r="14" spans="1:16" x14ac:dyDescent="0.25">
      <c r="A14" s="7">
        <v>10</v>
      </c>
      <c r="B14" s="1">
        <v>21</v>
      </c>
      <c r="C14" s="1">
        <v>21</v>
      </c>
      <c r="D14" s="2" t="s">
        <v>15</v>
      </c>
      <c r="E14" s="4">
        <v>962</v>
      </c>
      <c r="F14" s="4">
        <v>957</v>
      </c>
      <c r="G14" s="8">
        <f t="shared" si="0"/>
        <v>99.480249480249483</v>
      </c>
      <c r="H14" s="4">
        <v>405</v>
      </c>
      <c r="I14" s="4">
        <v>403</v>
      </c>
      <c r="J14" s="8">
        <f t="shared" si="1"/>
        <v>99.506172839506164</v>
      </c>
      <c r="K14" s="4">
        <v>156</v>
      </c>
      <c r="L14" s="4">
        <v>156</v>
      </c>
      <c r="M14" s="8">
        <f t="shared" si="2"/>
        <v>100</v>
      </c>
      <c r="N14" s="4">
        <v>100</v>
      </c>
      <c r="O14" s="4">
        <v>98</v>
      </c>
      <c r="P14" s="8">
        <f t="shared" si="3"/>
        <v>98</v>
      </c>
    </row>
    <row r="15" spans="1:16" x14ac:dyDescent="0.25">
      <c r="A15" s="7">
        <v>11</v>
      </c>
      <c r="B15" s="1">
        <v>31</v>
      </c>
      <c r="C15" s="1">
        <v>31</v>
      </c>
      <c r="D15" s="2" t="s">
        <v>16</v>
      </c>
      <c r="E15" s="4">
        <v>2203</v>
      </c>
      <c r="F15" s="4">
        <v>2200</v>
      </c>
      <c r="G15" s="8">
        <f t="shared" si="0"/>
        <v>99.863822060826152</v>
      </c>
      <c r="H15" s="4">
        <v>1060</v>
      </c>
      <c r="I15" s="4">
        <v>1055</v>
      </c>
      <c r="J15" s="8">
        <f t="shared" si="1"/>
        <v>99.528301886792448</v>
      </c>
      <c r="K15" s="4">
        <v>488</v>
      </c>
      <c r="L15" s="4">
        <v>488</v>
      </c>
      <c r="M15" s="8">
        <f t="shared" si="2"/>
        <v>100</v>
      </c>
      <c r="N15" s="4">
        <v>551</v>
      </c>
      <c r="O15" s="4">
        <v>550</v>
      </c>
      <c r="P15" s="8">
        <f t="shared" si="3"/>
        <v>99.818511796733205</v>
      </c>
    </row>
    <row r="16" spans="1:16" x14ac:dyDescent="0.25">
      <c r="A16" s="7">
        <v>12</v>
      </c>
      <c r="B16" s="1">
        <v>32</v>
      </c>
      <c r="C16" s="1">
        <v>32</v>
      </c>
      <c r="D16" s="2" t="s">
        <v>17</v>
      </c>
      <c r="E16" s="4">
        <v>19307</v>
      </c>
      <c r="F16" s="4">
        <v>18451</v>
      </c>
      <c r="G16" s="8">
        <f t="shared" si="0"/>
        <v>95.566374889936284</v>
      </c>
      <c r="H16" s="4">
        <v>5779</v>
      </c>
      <c r="I16" s="4">
        <v>5581</v>
      </c>
      <c r="J16" s="8">
        <f t="shared" si="1"/>
        <v>96.573801695795126</v>
      </c>
      <c r="K16" s="4">
        <v>1724</v>
      </c>
      <c r="L16" s="4">
        <v>1712</v>
      </c>
      <c r="M16" s="8">
        <f t="shared" si="2"/>
        <v>99.303944315545252</v>
      </c>
      <c r="N16" s="4">
        <v>2841</v>
      </c>
      <c r="O16" s="4">
        <v>2786</v>
      </c>
      <c r="P16" s="8">
        <f t="shared" si="3"/>
        <v>98.064061950017603</v>
      </c>
    </row>
    <row r="17" spans="1:16" x14ac:dyDescent="0.25">
      <c r="A17" s="7">
        <v>13</v>
      </c>
      <c r="B17" s="1">
        <v>33</v>
      </c>
      <c r="C17" s="1">
        <v>33</v>
      </c>
      <c r="D17" s="2" t="s">
        <v>18</v>
      </c>
      <c r="E17" s="4">
        <v>18483</v>
      </c>
      <c r="F17" s="4">
        <v>18471</v>
      </c>
      <c r="G17" s="8">
        <f t="shared" si="0"/>
        <v>99.935075474760595</v>
      </c>
      <c r="H17" s="4">
        <v>3374</v>
      </c>
      <c r="I17" s="4">
        <v>3367</v>
      </c>
      <c r="J17" s="8">
        <f t="shared" si="1"/>
        <v>99.792531120331944</v>
      </c>
      <c r="K17" s="4">
        <v>831</v>
      </c>
      <c r="L17" s="4">
        <v>827</v>
      </c>
      <c r="M17" s="8">
        <f t="shared" si="2"/>
        <v>99.518652226233456</v>
      </c>
      <c r="N17" s="4">
        <v>1515</v>
      </c>
      <c r="O17" s="4">
        <v>1513</v>
      </c>
      <c r="P17" s="8">
        <f t="shared" si="3"/>
        <v>99.867986798679866</v>
      </c>
    </row>
    <row r="18" spans="1:16" x14ac:dyDescent="0.25">
      <c r="A18" s="7">
        <v>14</v>
      </c>
      <c r="B18" s="1">
        <v>34</v>
      </c>
      <c r="C18" s="1">
        <v>34</v>
      </c>
      <c r="D18" s="2" t="s">
        <v>19</v>
      </c>
      <c r="E18" s="4">
        <v>1831</v>
      </c>
      <c r="F18" s="4">
        <v>1828</v>
      </c>
      <c r="G18" s="8">
        <f t="shared" si="0"/>
        <v>99.836155106499177</v>
      </c>
      <c r="H18" s="4">
        <v>448</v>
      </c>
      <c r="I18" s="4">
        <v>448</v>
      </c>
      <c r="J18" s="8">
        <f t="shared" si="1"/>
        <v>100</v>
      </c>
      <c r="K18" s="4">
        <v>173</v>
      </c>
      <c r="L18" s="4">
        <v>172</v>
      </c>
      <c r="M18" s="8">
        <f t="shared" si="2"/>
        <v>99.421965317919074</v>
      </c>
      <c r="N18" s="4">
        <v>205</v>
      </c>
      <c r="O18" s="4">
        <v>205</v>
      </c>
      <c r="P18" s="8">
        <f t="shared" si="3"/>
        <v>100</v>
      </c>
    </row>
    <row r="19" spans="1:16" x14ac:dyDescent="0.25">
      <c r="A19" s="7">
        <v>15</v>
      </c>
      <c r="B19" s="1">
        <v>35</v>
      </c>
      <c r="C19" s="1">
        <v>35</v>
      </c>
      <c r="D19" s="2" t="s">
        <v>20</v>
      </c>
      <c r="E19" s="4">
        <v>18792</v>
      </c>
      <c r="F19" s="4">
        <v>18533</v>
      </c>
      <c r="G19" s="8">
        <f t="shared" si="0"/>
        <v>98.621753937845895</v>
      </c>
      <c r="H19" s="4">
        <v>4883</v>
      </c>
      <c r="I19" s="4">
        <v>4786</v>
      </c>
      <c r="J19" s="8">
        <f t="shared" si="1"/>
        <v>98.013516280974812</v>
      </c>
      <c r="K19" s="4">
        <v>1502</v>
      </c>
      <c r="L19" s="4">
        <v>1475</v>
      </c>
      <c r="M19" s="8">
        <f t="shared" si="2"/>
        <v>98.202396804260985</v>
      </c>
      <c r="N19" s="4">
        <v>2095</v>
      </c>
      <c r="O19" s="4">
        <v>2037</v>
      </c>
      <c r="P19" s="8">
        <f t="shared" si="3"/>
        <v>97.231503579952275</v>
      </c>
    </row>
    <row r="20" spans="1:16" x14ac:dyDescent="0.25">
      <c r="A20" s="7">
        <v>16</v>
      </c>
      <c r="B20" s="1">
        <v>36</v>
      </c>
      <c r="C20" s="1">
        <v>36</v>
      </c>
      <c r="D20" s="2" t="s">
        <v>21</v>
      </c>
      <c r="E20" s="4">
        <v>4558</v>
      </c>
      <c r="F20" s="4">
        <v>4545</v>
      </c>
      <c r="G20" s="8">
        <f t="shared" si="0"/>
        <v>99.714787187362873</v>
      </c>
      <c r="H20" s="4">
        <v>1578</v>
      </c>
      <c r="I20" s="4">
        <v>1574</v>
      </c>
      <c r="J20" s="8">
        <f t="shared" si="1"/>
        <v>99.746514575411922</v>
      </c>
      <c r="K20" s="4">
        <v>595</v>
      </c>
      <c r="L20" s="4">
        <v>595</v>
      </c>
      <c r="M20" s="8">
        <f t="shared" si="2"/>
        <v>100</v>
      </c>
      <c r="N20" s="4">
        <v>708</v>
      </c>
      <c r="O20" s="4">
        <v>707</v>
      </c>
      <c r="P20" s="8">
        <f t="shared" si="3"/>
        <v>99.858757062146893</v>
      </c>
    </row>
    <row r="21" spans="1:16" x14ac:dyDescent="0.25">
      <c r="A21" s="7">
        <v>17</v>
      </c>
      <c r="B21" s="1">
        <v>51</v>
      </c>
      <c r="C21" s="1">
        <v>51</v>
      </c>
      <c r="D21" s="2" t="s">
        <v>22</v>
      </c>
      <c r="E21" s="4">
        <v>2395</v>
      </c>
      <c r="F21" s="4">
        <v>2329</v>
      </c>
      <c r="G21" s="8">
        <f t="shared" si="0"/>
        <v>97.244258872651358</v>
      </c>
      <c r="H21" s="4">
        <v>394</v>
      </c>
      <c r="I21" s="4">
        <v>387</v>
      </c>
      <c r="J21" s="8">
        <f t="shared" si="1"/>
        <v>98.223350253807112</v>
      </c>
      <c r="K21" s="4">
        <v>159</v>
      </c>
      <c r="L21" s="4">
        <v>158</v>
      </c>
      <c r="M21" s="8">
        <f t="shared" si="2"/>
        <v>99.371069182389931</v>
      </c>
      <c r="N21" s="4">
        <v>164</v>
      </c>
      <c r="O21" s="4">
        <v>164</v>
      </c>
      <c r="P21" s="8">
        <f t="shared" si="3"/>
        <v>100</v>
      </c>
    </row>
    <row r="22" spans="1:16" x14ac:dyDescent="0.25">
      <c r="A22" s="7">
        <v>18</v>
      </c>
      <c r="B22" s="1">
        <v>52</v>
      </c>
      <c r="C22" s="1">
        <v>52</v>
      </c>
      <c r="D22" s="2" t="s">
        <v>23</v>
      </c>
      <c r="E22" s="4">
        <v>3239</v>
      </c>
      <c r="F22" s="4">
        <v>3005</v>
      </c>
      <c r="G22" s="8">
        <f t="shared" si="0"/>
        <v>92.775548008644648</v>
      </c>
      <c r="H22" s="4">
        <v>1011</v>
      </c>
      <c r="I22" s="4">
        <v>961</v>
      </c>
      <c r="J22" s="8">
        <f t="shared" si="1"/>
        <v>95.054401582591495</v>
      </c>
      <c r="K22" s="4">
        <v>346</v>
      </c>
      <c r="L22" s="4">
        <v>333</v>
      </c>
      <c r="M22" s="8">
        <f t="shared" si="2"/>
        <v>96.242774566473983</v>
      </c>
      <c r="N22" s="4">
        <v>307</v>
      </c>
      <c r="O22" s="4">
        <v>250</v>
      </c>
      <c r="P22" s="8">
        <f t="shared" si="3"/>
        <v>81.433224755700323</v>
      </c>
    </row>
    <row r="23" spans="1:16" x14ac:dyDescent="0.25">
      <c r="A23" s="7">
        <v>19</v>
      </c>
      <c r="B23" s="1">
        <v>53</v>
      </c>
      <c r="C23" s="1">
        <v>53</v>
      </c>
      <c r="D23" s="2" t="s">
        <v>24</v>
      </c>
      <c r="E23" s="4">
        <v>5082</v>
      </c>
      <c r="F23" s="4">
        <v>5063</v>
      </c>
      <c r="G23" s="8">
        <f t="shared" si="0"/>
        <v>99.626131444313259</v>
      </c>
      <c r="H23" s="4">
        <v>1800</v>
      </c>
      <c r="I23" s="4">
        <v>1795</v>
      </c>
      <c r="J23" s="8">
        <f t="shared" si="1"/>
        <v>99.722222222222229</v>
      </c>
      <c r="K23" s="4">
        <v>601</v>
      </c>
      <c r="L23" s="4">
        <v>599</v>
      </c>
      <c r="M23" s="8">
        <f t="shared" si="2"/>
        <v>99.667221297836932</v>
      </c>
      <c r="N23" s="4">
        <v>324</v>
      </c>
      <c r="O23" s="4">
        <v>322</v>
      </c>
      <c r="P23" s="8">
        <f t="shared" si="3"/>
        <v>99.382716049382708</v>
      </c>
    </row>
    <row r="24" spans="1:16" x14ac:dyDescent="0.25">
      <c r="A24" s="7">
        <v>20</v>
      </c>
      <c r="B24" s="1">
        <v>61</v>
      </c>
      <c r="C24" s="1">
        <v>61</v>
      </c>
      <c r="D24" s="2" t="s">
        <v>25</v>
      </c>
      <c r="E24" s="4">
        <v>4343</v>
      </c>
      <c r="F24" s="4">
        <v>4263</v>
      </c>
      <c r="G24" s="8">
        <f t="shared" si="0"/>
        <v>98.157955330416755</v>
      </c>
      <c r="H24" s="4">
        <v>1362</v>
      </c>
      <c r="I24" s="4">
        <v>1330</v>
      </c>
      <c r="J24" s="8">
        <f t="shared" si="1"/>
        <v>97.650513950073432</v>
      </c>
      <c r="K24" s="4">
        <v>450</v>
      </c>
      <c r="L24" s="4">
        <v>449</v>
      </c>
      <c r="M24" s="8">
        <f t="shared" si="2"/>
        <v>99.777777777777771</v>
      </c>
      <c r="N24" s="4">
        <v>218</v>
      </c>
      <c r="O24" s="4">
        <v>218</v>
      </c>
      <c r="P24" s="8">
        <f t="shared" si="3"/>
        <v>100</v>
      </c>
    </row>
    <row r="25" spans="1:16" x14ac:dyDescent="0.25">
      <c r="A25" s="7">
        <v>21</v>
      </c>
      <c r="B25" s="1">
        <v>62</v>
      </c>
      <c r="C25" s="1">
        <v>62</v>
      </c>
      <c r="D25" s="2" t="s">
        <v>26</v>
      </c>
      <c r="E25" s="4">
        <v>2576</v>
      </c>
      <c r="F25" s="4">
        <v>2499</v>
      </c>
      <c r="G25" s="8">
        <f t="shared" si="0"/>
        <v>97.010869565217391</v>
      </c>
      <c r="H25" s="4">
        <v>854</v>
      </c>
      <c r="I25" s="4">
        <v>854</v>
      </c>
      <c r="J25" s="8">
        <f t="shared" si="1"/>
        <v>100</v>
      </c>
      <c r="K25" s="4">
        <v>242</v>
      </c>
      <c r="L25" s="4">
        <v>242</v>
      </c>
      <c r="M25" s="8">
        <f t="shared" si="2"/>
        <v>100</v>
      </c>
      <c r="N25" s="4">
        <v>136</v>
      </c>
      <c r="O25" s="4">
        <v>136</v>
      </c>
      <c r="P25" s="8">
        <f t="shared" si="3"/>
        <v>100</v>
      </c>
    </row>
    <row r="26" spans="1:16" x14ac:dyDescent="0.25">
      <c r="A26" s="7">
        <v>22</v>
      </c>
      <c r="B26" s="1">
        <v>63</v>
      </c>
      <c r="C26" s="1">
        <v>63</v>
      </c>
      <c r="D26" s="2" t="s">
        <v>27</v>
      </c>
      <c r="E26" s="4">
        <v>2894</v>
      </c>
      <c r="F26" s="4">
        <v>2894</v>
      </c>
      <c r="G26" s="8">
        <f t="shared" si="0"/>
        <v>100</v>
      </c>
      <c r="H26" s="4">
        <v>617</v>
      </c>
      <c r="I26" s="4">
        <v>617</v>
      </c>
      <c r="J26" s="8">
        <f t="shared" si="1"/>
        <v>100</v>
      </c>
      <c r="K26" s="4">
        <v>206</v>
      </c>
      <c r="L26" s="4">
        <v>206</v>
      </c>
      <c r="M26" s="8">
        <f t="shared" si="2"/>
        <v>100</v>
      </c>
      <c r="N26" s="4">
        <v>122</v>
      </c>
      <c r="O26" s="4">
        <v>122</v>
      </c>
      <c r="P26" s="8">
        <f t="shared" si="3"/>
        <v>100</v>
      </c>
    </row>
    <row r="27" spans="1:16" x14ac:dyDescent="0.25">
      <c r="A27" s="7">
        <v>23</v>
      </c>
      <c r="B27" s="1">
        <v>64</v>
      </c>
      <c r="C27" s="1">
        <v>64</v>
      </c>
      <c r="D27" s="2" t="s">
        <v>28</v>
      </c>
      <c r="E27" s="4">
        <v>1893</v>
      </c>
      <c r="F27" s="4">
        <v>1790</v>
      </c>
      <c r="G27" s="8">
        <f t="shared" si="0"/>
        <v>94.558901215002649</v>
      </c>
      <c r="H27" s="4">
        <v>677</v>
      </c>
      <c r="I27" s="4">
        <v>655</v>
      </c>
      <c r="J27" s="8">
        <f t="shared" si="1"/>
        <v>96.750369276218606</v>
      </c>
      <c r="K27" s="4">
        <v>232</v>
      </c>
      <c r="L27" s="4">
        <v>227</v>
      </c>
      <c r="M27" s="8">
        <f t="shared" si="2"/>
        <v>97.84482758620689</v>
      </c>
      <c r="N27" s="4">
        <v>209</v>
      </c>
      <c r="O27" s="4">
        <v>206</v>
      </c>
      <c r="P27" s="8">
        <f t="shared" si="3"/>
        <v>98.564593301435409</v>
      </c>
    </row>
    <row r="28" spans="1:16" x14ac:dyDescent="0.25">
      <c r="A28" s="7">
        <v>24</v>
      </c>
      <c r="B28" s="1">
        <v>65</v>
      </c>
      <c r="C28" s="1">
        <v>65</v>
      </c>
      <c r="D28" s="2" t="s">
        <v>29</v>
      </c>
      <c r="E28" s="4">
        <v>473</v>
      </c>
      <c r="F28" s="4">
        <v>464</v>
      </c>
      <c r="G28" s="8">
        <f t="shared" si="0"/>
        <v>98.097251585623681</v>
      </c>
      <c r="H28" s="4">
        <v>192</v>
      </c>
      <c r="I28" s="4">
        <v>190</v>
      </c>
      <c r="J28" s="8">
        <f t="shared" si="1"/>
        <v>98.958333333333343</v>
      </c>
      <c r="K28" s="4">
        <v>67</v>
      </c>
      <c r="L28" s="4">
        <v>67</v>
      </c>
      <c r="M28" s="8">
        <f t="shared" si="2"/>
        <v>100</v>
      </c>
      <c r="N28" s="4">
        <v>31</v>
      </c>
      <c r="O28" s="4">
        <v>31</v>
      </c>
      <c r="P28" s="8">
        <f t="shared" si="3"/>
        <v>100</v>
      </c>
    </row>
    <row r="29" spans="1:16" x14ac:dyDescent="0.25">
      <c r="A29" s="7">
        <v>25</v>
      </c>
      <c r="B29" s="1">
        <v>71</v>
      </c>
      <c r="C29" s="1">
        <v>71</v>
      </c>
      <c r="D29" s="2" t="s">
        <v>30</v>
      </c>
      <c r="E29" s="4">
        <v>2181</v>
      </c>
      <c r="F29" s="4">
        <v>2120</v>
      </c>
      <c r="G29" s="8">
        <f t="shared" si="0"/>
        <v>97.20311783585511</v>
      </c>
      <c r="H29" s="4">
        <v>724</v>
      </c>
      <c r="I29" s="4">
        <v>710</v>
      </c>
      <c r="J29" s="8">
        <f t="shared" si="1"/>
        <v>98.06629834254143</v>
      </c>
      <c r="K29" s="4">
        <v>221</v>
      </c>
      <c r="L29" s="4">
        <v>221</v>
      </c>
      <c r="M29" s="8">
        <f t="shared" si="2"/>
        <v>100</v>
      </c>
      <c r="N29" s="4">
        <v>176</v>
      </c>
      <c r="O29" s="4">
        <v>176</v>
      </c>
      <c r="P29" s="8">
        <f t="shared" si="3"/>
        <v>100</v>
      </c>
    </row>
    <row r="30" spans="1:16" x14ac:dyDescent="0.25">
      <c r="A30" s="7">
        <v>26</v>
      </c>
      <c r="B30" s="1">
        <v>72</v>
      </c>
      <c r="C30" s="1">
        <v>72</v>
      </c>
      <c r="D30" s="2" t="s">
        <v>31</v>
      </c>
      <c r="E30" s="4">
        <v>2906</v>
      </c>
      <c r="F30" s="4">
        <v>2831</v>
      </c>
      <c r="G30" s="8">
        <f t="shared" si="0"/>
        <v>97.41913282863041</v>
      </c>
      <c r="H30" s="4">
        <v>871</v>
      </c>
      <c r="I30" s="4">
        <v>858</v>
      </c>
      <c r="J30" s="8">
        <f t="shared" si="1"/>
        <v>98.507462686567166</v>
      </c>
      <c r="K30" s="4">
        <v>232</v>
      </c>
      <c r="L30" s="4">
        <v>228</v>
      </c>
      <c r="M30" s="8">
        <f t="shared" si="2"/>
        <v>98.275862068965509</v>
      </c>
      <c r="N30" s="4">
        <v>179</v>
      </c>
      <c r="O30" s="4">
        <v>169</v>
      </c>
      <c r="P30" s="8">
        <f t="shared" si="3"/>
        <v>94.413407821229043</v>
      </c>
    </row>
    <row r="31" spans="1:16" x14ac:dyDescent="0.25">
      <c r="A31" s="7">
        <v>27</v>
      </c>
      <c r="B31" s="1">
        <v>73</v>
      </c>
      <c r="C31" s="1">
        <v>73</v>
      </c>
      <c r="D31" s="2" t="s">
        <v>32</v>
      </c>
      <c r="E31" s="4">
        <v>6392</v>
      </c>
      <c r="F31" s="4">
        <v>6380</v>
      </c>
      <c r="G31" s="8">
        <f t="shared" si="0"/>
        <v>99.812265331664591</v>
      </c>
      <c r="H31" s="4">
        <v>1690</v>
      </c>
      <c r="I31" s="4">
        <v>1683</v>
      </c>
      <c r="J31" s="8">
        <f t="shared" si="1"/>
        <v>99.585798816568044</v>
      </c>
      <c r="K31" s="4">
        <v>596</v>
      </c>
      <c r="L31" s="4">
        <v>595</v>
      </c>
      <c r="M31" s="8">
        <f t="shared" si="2"/>
        <v>99.832214765100673</v>
      </c>
      <c r="N31" s="4">
        <v>387</v>
      </c>
      <c r="O31" s="4">
        <v>380</v>
      </c>
      <c r="P31" s="8">
        <f t="shared" si="3"/>
        <v>98.191214470284237</v>
      </c>
    </row>
    <row r="32" spans="1:16" x14ac:dyDescent="0.25">
      <c r="A32" s="7">
        <v>28</v>
      </c>
      <c r="B32" s="1">
        <v>74</v>
      </c>
      <c r="C32" s="1">
        <v>74</v>
      </c>
      <c r="D32" s="2" t="s">
        <v>33</v>
      </c>
      <c r="E32" s="4">
        <v>2318</v>
      </c>
      <c r="F32" s="4">
        <v>2318</v>
      </c>
      <c r="G32" s="8">
        <f t="shared" si="0"/>
        <v>100</v>
      </c>
      <c r="H32" s="4">
        <v>780</v>
      </c>
      <c r="I32" s="4">
        <v>780</v>
      </c>
      <c r="J32" s="8">
        <f t="shared" si="1"/>
        <v>100</v>
      </c>
      <c r="K32" s="4">
        <v>311</v>
      </c>
      <c r="L32" s="4">
        <v>311</v>
      </c>
      <c r="M32" s="8">
        <f t="shared" si="2"/>
        <v>100</v>
      </c>
      <c r="N32" s="4">
        <v>158</v>
      </c>
      <c r="O32" s="4">
        <v>158</v>
      </c>
      <c r="P32" s="8">
        <f t="shared" si="3"/>
        <v>100</v>
      </c>
    </row>
    <row r="33" spans="1:16" x14ac:dyDescent="0.25">
      <c r="A33" s="7">
        <v>29</v>
      </c>
      <c r="B33" s="1">
        <v>75</v>
      </c>
      <c r="C33" s="1">
        <v>75</v>
      </c>
      <c r="D33" s="2" t="s">
        <v>34</v>
      </c>
      <c r="E33" s="4">
        <v>926</v>
      </c>
      <c r="F33" s="4">
        <v>926</v>
      </c>
      <c r="G33" s="8">
        <f t="shared" si="0"/>
        <v>100</v>
      </c>
      <c r="H33" s="4">
        <v>341</v>
      </c>
      <c r="I33" s="4">
        <v>341</v>
      </c>
      <c r="J33" s="8">
        <f t="shared" si="1"/>
        <v>100</v>
      </c>
      <c r="K33" s="4">
        <v>71</v>
      </c>
      <c r="L33" s="4">
        <v>71</v>
      </c>
      <c r="M33" s="8">
        <f t="shared" si="2"/>
        <v>100</v>
      </c>
      <c r="N33" s="4">
        <v>58</v>
      </c>
      <c r="O33" s="4">
        <v>58</v>
      </c>
      <c r="P33" s="8">
        <f t="shared" si="3"/>
        <v>100</v>
      </c>
    </row>
    <row r="34" spans="1:16" x14ac:dyDescent="0.25">
      <c r="A34" s="7">
        <v>30</v>
      </c>
      <c r="B34" s="1">
        <v>76</v>
      </c>
      <c r="C34" s="1">
        <v>76</v>
      </c>
      <c r="D34" s="2" t="s">
        <v>35</v>
      </c>
      <c r="E34" s="4">
        <v>1299</v>
      </c>
      <c r="F34" s="4">
        <v>1271</v>
      </c>
      <c r="G34" s="8">
        <f t="shared" si="0"/>
        <v>97.844495765973832</v>
      </c>
      <c r="H34" s="4">
        <v>372</v>
      </c>
      <c r="I34" s="4">
        <v>366</v>
      </c>
      <c r="J34" s="8">
        <f t="shared" si="1"/>
        <v>98.387096774193552</v>
      </c>
      <c r="K34" s="4">
        <v>88</v>
      </c>
      <c r="L34" s="4">
        <v>85</v>
      </c>
      <c r="M34" s="8">
        <f t="shared" si="2"/>
        <v>96.590909090909093</v>
      </c>
      <c r="N34" s="4">
        <v>124</v>
      </c>
      <c r="O34" s="4">
        <v>114</v>
      </c>
      <c r="P34" s="8">
        <f t="shared" si="3"/>
        <v>91.935483870967744</v>
      </c>
    </row>
    <row r="35" spans="1:16" x14ac:dyDescent="0.25">
      <c r="A35" s="7">
        <v>31</v>
      </c>
      <c r="B35" s="1">
        <v>81</v>
      </c>
      <c r="C35" s="1">
        <v>81</v>
      </c>
      <c r="D35" s="2" t="s">
        <v>36</v>
      </c>
      <c r="E35" s="4">
        <v>1784</v>
      </c>
      <c r="F35" s="4">
        <v>1735</v>
      </c>
      <c r="G35" s="8">
        <f t="shared" si="0"/>
        <v>97.253363228699556</v>
      </c>
      <c r="H35" s="4">
        <v>684</v>
      </c>
      <c r="I35" s="4">
        <v>673</v>
      </c>
      <c r="J35" s="8">
        <f t="shared" si="1"/>
        <v>98.391812865497073</v>
      </c>
      <c r="K35" s="4">
        <v>283</v>
      </c>
      <c r="L35" s="4">
        <v>283</v>
      </c>
      <c r="M35" s="8">
        <f t="shared" si="2"/>
        <v>100</v>
      </c>
      <c r="N35" s="4">
        <v>113</v>
      </c>
      <c r="O35" s="4">
        <v>113</v>
      </c>
      <c r="P35" s="8">
        <f t="shared" si="3"/>
        <v>100</v>
      </c>
    </row>
    <row r="36" spans="1:16" x14ac:dyDescent="0.25">
      <c r="A36" s="7">
        <v>32</v>
      </c>
      <c r="B36" s="1">
        <v>82</v>
      </c>
      <c r="C36" s="1">
        <v>82</v>
      </c>
      <c r="D36" s="2" t="s">
        <v>37</v>
      </c>
      <c r="E36" s="4">
        <v>1284</v>
      </c>
      <c r="F36" s="4">
        <v>1249</v>
      </c>
      <c r="G36" s="8">
        <f t="shared" si="0"/>
        <v>97.274143302180676</v>
      </c>
      <c r="H36" s="4">
        <v>507</v>
      </c>
      <c r="I36" s="4">
        <v>499</v>
      </c>
      <c r="J36" s="8">
        <f t="shared" si="1"/>
        <v>98.422090729783037</v>
      </c>
      <c r="K36" s="4">
        <v>216</v>
      </c>
      <c r="L36" s="4">
        <v>183</v>
      </c>
      <c r="M36" s="8">
        <f t="shared" si="2"/>
        <v>84.722222222222214</v>
      </c>
      <c r="N36" s="4">
        <v>147</v>
      </c>
      <c r="O36" s="4">
        <v>119</v>
      </c>
      <c r="P36" s="8">
        <f t="shared" si="3"/>
        <v>80.952380952380949</v>
      </c>
    </row>
    <row r="37" spans="1:16" x14ac:dyDescent="0.25">
      <c r="A37" s="7">
        <v>33</v>
      </c>
      <c r="B37" s="1">
        <v>92</v>
      </c>
      <c r="C37" s="1">
        <v>91</v>
      </c>
      <c r="D37" s="2" t="s">
        <v>38</v>
      </c>
      <c r="E37" s="4">
        <v>476</v>
      </c>
      <c r="F37" s="4">
        <v>304</v>
      </c>
      <c r="G37" s="8">
        <f t="shared" si="0"/>
        <v>63.865546218487388</v>
      </c>
      <c r="H37" s="4">
        <v>154</v>
      </c>
      <c r="I37" s="4">
        <v>133</v>
      </c>
      <c r="J37" s="8">
        <f t="shared" si="1"/>
        <v>86.36363636363636</v>
      </c>
      <c r="K37" s="4">
        <v>61</v>
      </c>
      <c r="L37" s="4">
        <v>53</v>
      </c>
      <c r="M37" s="8">
        <f t="shared" si="2"/>
        <v>86.885245901639337</v>
      </c>
      <c r="N37" s="4">
        <v>21</v>
      </c>
      <c r="O37" s="4">
        <v>21</v>
      </c>
      <c r="P37" s="8">
        <f t="shared" si="3"/>
        <v>100</v>
      </c>
    </row>
    <row r="38" spans="1:16" x14ac:dyDescent="0.25">
      <c r="A38" s="7">
        <v>34</v>
      </c>
      <c r="B38" s="1">
        <v>96</v>
      </c>
      <c r="C38" s="1">
        <v>92</v>
      </c>
      <c r="D38" s="2" t="s">
        <v>39</v>
      </c>
      <c r="E38" s="4">
        <v>516</v>
      </c>
      <c r="F38" s="4">
        <v>370</v>
      </c>
      <c r="G38" s="8">
        <f t="shared" si="0"/>
        <v>71.705426356589157</v>
      </c>
      <c r="H38" s="4">
        <v>174</v>
      </c>
      <c r="I38" s="4">
        <v>155</v>
      </c>
      <c r="J38" s="8">
        <f t="shared" si="1"/>
        <v>89.080459770114942</v>
      </c>
      <c r="K38" s="4">
        <v>70</v>
      </c>
      <c r="L38" s="4">
        <v>64</v>
      </c>
      <c r="M38" s="8">
        <f t="shared" si="2"/>
        <v>91.428571428571431</v>
      </c>
      <c r="N38" s="4">
        <v>35</v>
      </c>
      <c r="O38" s="4">
        <v>30</v>
      </c>
      <c r="P38" s="8">
        <f t="shared" si="3"/>
        <v>85.714285714285708</v>
      </c>
    </row>
    <row r="39" spans="1:16" x14ac:dyDescent="0.25">
      <c r="A39" s="7">
        <v>35</v>
      </c>
      <c r="B39" s="1">
        <v>91</v>
      </c>
      <c r="C39" s="1">
        <v>94</v>
      </c>
      <c r="D39" s="2" t="s">
        <v>40</v>
      </c>
      <c r="E39" s="4">
        <v>510</v>
      </c>
      <c r="F39" s="4">
        <v>479</v>
      </c>
      <c r="G39" s="8">
        <f t="shared" si="0"/>
        <v>93.921568627450981</v>
      </c>
      <c r="H39" s="4">
        <v>204</v>
      </c>
      <c r="I39" s="4">
        <v>203</v>
      </c>
      <c r="J39" s="8">
        <f t="shared" si="1"/>
        <v>99.509803921568633</v>
      </c>
      <c r="K39" s="4">
        <v>104</v>
      </c>
      <c r="L39" s="4">
        <v>104</v>
      </c>
      <c r="M39" s="8">
        <f t="shared" si="2"/>
        <v>100</v>
      </c>
      <c r="N39" s="4">
        <v>47</v>
      </c>
      <c r="O39" s="4">
        <v>47</v>
      </c>
      <c r="P39" s="8">
        <f t="shared" si="3"/>
        <v>100</v>
      </c>
    </row>
    <row r="40" spans="1:16" x14ac:dyDescent="0.25">
      <c r="A40" s="7">
        <v>36</v>
      </c>
      <c r="B40" s="1">
        <v>94</v>
      </c>
      <c r="C40" s="1">
        <v>96</v>
      </c>
      <c r="D40" s="2" t="s">
        <v>41</v>
      </c>
      <c r="E40" s="4">
        <v>169</v>
      </c>
      <c r="F40" s="4">
        <v>166</v>
      </c>
      <c r="G40" s="8">
        <f t="shared" si="0"/>
        <v>98.224852071005913</v>
      </c>
      <c r="H40" s="4">
        <v>109</v>
      </c>
      <c r="I40" s="4">
        <v>107</v>
      </c>
      <c r="J40" s="8">
        <f t="shared" si="1"/>
        <v>98.165137614678898</v>
      </c>
      <c r="K40" s="4">
        <v>46</v>
      </c>
      <c r="L40" s="4">
        <v>46</v>
      </c>
      <c r="M40" s="8">
        <f t="shared" si="2"/>
        <v>100</v>
      </c>
      <c r="N40" s="4">
        <v>45</v>
      </c>
      <c r="O40" s="4">
        <v>45</v>
      </c>
      <c r="P40" s="8">
        <f t="shared" si="3"/>
        <v>100</v>
      </c>
    </row>
    <row r="41" spans="1:16" x14ac:dyDescent="0.25">
      <c r="A41" s="7">
        <v>37</v>
      </c>
      <c r="B41" s="1">
        <v>93</v>
      </c>
      <c r="C41" s="1">
        <v>95</v>
      </c>
      <c r="D41" s="2" t="s">
        <v>42</v>
      </c>
      <c r="E41" s="4">
        <v>271</v>
      </c>
      <c r="F41" s="4">
        <v>241</v>
      </c>
      <c r="G41" s="8">
        <f t="shared" si="0"/>
        <v>88.929889298892988</v>
      </c>
      <c r="H41" s="4">
        <v>117</v>
      </c>
      <c r="I41" s="4">
        <v>117</v>
      </c>
      <c r="J41" s="8">
        <f t="shared" si="1"/>
        <v>100</v>
      </c>
      <c r="K41" s="4">
        <v>32</v>
      </c>
      <c r="L41" s="4">
        <v>32</v>
      </c>
      <c r="M41" s="8">
        <f t="shared" si="2"/>
        <v>100</v>
      </c>
      <c r="N41" s="4">
        <v>25</v>
      </c>
      <c r="O41" s="4">
        <v>25</v>
      </c>
      <c r="P41" s="8">
        <f t="shared" si="3"/>
        <v>100</v>
      </c>
    </row>
    <row r="42" spans="1:16" x14ac:dyDescent="0.25">
      <c r="A42" s="7">
        <v>38</v>
      </c>
      <c r="B42" s="1">
        <v>95</v>
      </c>
      <c r="C42" s="1">
        <v>97</v>
      </c>
      <c r="D42" s="2" t="s">
        <v>43</v>
      </c>
      <c r="E42" s="4">
        <v>85</v>
      </c>
      <c r="F42" s="4">
        <v>74</v>
      </c>
      <c r="G42" s="8">
        <f t="shared" si="0"/>
        <v>87.058823529411768</v>
      </c>
      <c r="H42" s="4">
        <v>72</v>
      </c>
      <c r="I42" s="4">
        <v>68</v>
      </c>
      <c r="J42" s="8">
        <f t="shared" si="1"/>
        <v>94.444444444444443</v>
      </c>
      <c r="K42" s="4">
        <v>36</v>
      </c>
      <c r="L42" s="4">
        <v>34</v>
      </c>
      <c r="M42" s="8">
        <f t="shared" si="2"/>
        <v>94.444444444444443</v>
      </c>
      <c r="N42" s="4">
        <v>15</v>
      </c>
      <c r="O42" s="4">
        <v>15</v>
      </c>
      <c r="P42" s="8">
        <f t="shared" si="3"/>
        <v>100</v>
      </c>
    </row>
    <row r="43" spans="1:16" x14ac:dyDescent="0.25">
      <c r="A43" s="7">
        <v>39</v>
      </c>
      <c r="B43" s="7"/>
      <c r="C43" s="1"/>
      <c r="D43" s="2" t="s">
        <v>0</v>
      </c>
      <c r="E43" s="4">
        <v>13</v>
      </c>
      <c r="F43" s="4">
        <v>6</v>
      </c>
      <c r="G43" s="8">
        <f t="shared" si="0"/>
        <v>46.153846153846153</v>
      </c>
      <c r="H43" s="4">
        <v>13</v>
      </c>
      <c r="I43" s="4">
        <v>9</v>
      </c>
      <c r="J43" s="8">
        <f t="shared" si="1"/>
        <v>69.230769230769226</v>
      </c>
      <c r="K43" s="4">
        <v>12</v>
      </c>
      <c r="L43" s="4">
        <v>5</v>
      </c>
      <c r="M43" s="8">
        <f t="shared" si="2"/>
        <v>41.666666666666671</v>
      </c>
      <c r="N43" s="4">
        <v>1</v>
      </c>
      <c r="O43" s="4">
        <v>1</v>
      </c>
      <c r="P43" s="8">
        <f t="shared" si="3"/>
        <v>100</v>
      </c>
    </row>
    <row r="44" spans="1:16" x14ac:dyDescent="0.25">
      <c r="A44" s="16"/>
      <c r="B44" s="17"/>
      <c r="C44" s="18"/>
      <c r="D44" s="3" t="s">
        <v>44</v>
      </c>
      <c r="E44" s="4">
        <v>145101</v>
      </c>
      <c r="F44" s="4">
        <v>142179</v>
      </c>
      <c r="G44" s="8">
        <v>97.986230280976699</v>
      </c>
      <c r="H44" s="4">
        <v>41447</v>
      </c>
      <c r="I44" s="4">
        <v>40777</v>
      </c>
      <c r="J44" s="8">
        <v>98.383477694404903</v>
      </c>
      <c r="K44" s="4">
        <v>14093</v>
      </c>
      <c r="L44" s="4">
        <v>13947</v>
      </c>
      <c r="M44" s="8">
        <v>98.964024693110048</v>
      </c>
      <c r="N44" s="4">
        <v>13783</v>
      </c>
      <c r="O44" s="4">
        <v>13486</v>
      </c>
      <c r="P44" s="8">
        <v>97.84517158818835</v>
      </c>
    </row>
  </sheetData>
  <mergeCells count="9">
    <mergeCell ref="A44:C44"/>
    <mergeCell ref="E3:G3"/>
    <mergeCell ref="H3:J3"/>
    <mergeCell ref="K3:M3"/>
    <mergeCell ref="N3:P3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2025-01-07T03:56:48Z</dcterms:created>
  <dcterms:modified xsi:type="dcterms:W3CDTF">2025-01-31T07:26:09Z</dcterms:modified>
</cp:coreProperties>
</file>