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00KERJAAN00\PORTAL DATA\Pusdatin, 30 November 2025\"/>
    </mc:Choice>
  </mc:AlternateContent>
  <xr:revisionPtr revIDLastSave="0" documentId="13_ncr:1_{B8BCF4AB-B3D3-4AB0-8BA7-6CA2FEE96A4E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Data" sheetId="1" r:id="rId1"/>
    <sheet name="Metadata" sheetId="2" r:id="rId2"/>
  </sheets>
  <calcPr calcId="191029"/>
  <extLst>
    <ext uri="GoogleSheetsCustomDataVersion2">
      <go:sheetsCustomData xmlns:go="http://customooxmlschemas.google.com/" r:id="rId6" roundtripDataChecksum="YWpRTKud9wpzlFbmt8Bz6tMUAIZ200b3hkqibUnm30A="/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6" i="1"/>
  <c r="AM45" i="1" l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</calcChain>
</file>

<file path=xl/sharedStrings.xml><?xml version="1.0" encoding="utf-8"?>
<sst xmlns="http://schemas.openxmlformats.org/spreadsheetml/2006/main" count="120" uniqueCount="83">
  <si>
    <t>No</t>
  </si>
  <si>
    <t>Kode Wilayah</t>
  </si>
  <si>
    <t>Wilayah</t>
  </si>
  <si>
    <t>Satuan Pendidikan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</si>
  <si>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</si>
  <si>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</si>
  <si>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</si>
  <si>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</si>
  <si>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</si>
  <si>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Taman Kanak-kanak (TK)</t>
  </si>
  <si>
    <t>Kelompok Bermain (KB)</t>
  </si>
  <si>
    <t>Taman Pendidikan Al-Qur'an (TPA)</t>
  </si>
  <si>
    <t>Satuan PAUD Sejenis (SPS)</t>
  </si>
  <si>
    <t>Kursus</t>
  </si>
  <si>
    <t>Pusat Kegiatan Belajar Masyarakat (PKBM)</t>
  </si>
  <si>
    <t>Sanggar Kegiatan Belajar (SKB)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</si>
  <si>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</si>
  <si>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</si>
  <si>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</si>
  <si>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</si>
  <si>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</si>
  <si>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</si>
  <si>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</si>
  <si>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</si>
  <si>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</si>
  <si>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</si>
  <si>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</si>
  <si>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</si>
  <si>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</si>
  <si>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</si>
  <si>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</si>
  <si>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</si>
  <si>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</si>
  <si>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</si>
  <si>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</si>
  <si>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</si>
  <si>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</si>
  <si>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</si>
  <si>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</si>
  <si>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</si>
  <si>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</si>
  <si>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</si>
  <si>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</si>
  <si>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</si>
  <si>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</si>
  <si>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</si>
  <si>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</si>
  <si>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</si>
  <si>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</si>
  <si>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</si>
  <si>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</si>
  <si>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</si>
  <si>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</si>
  <si>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</si>
  <si>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</si>
  <si>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</si>
  <si>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</si>
  <si>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</si>
  <si>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</si>
  <si>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</si>
  <si>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</si>
  <si>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</si>
  <si>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Manfaat</t>
  </si>
  <si>
    <t>-</t>
  </si>
  <si>
    <t>Interpretasi</t>
  </si>
  <si>
    <t>Semakin tinggi jumlah, semakin banyak satuan pendidikan di suatu wilayah dan waktu tertentu.</t>
  </si>
  <si>
    <t>Frekuensi update</t>
  </si>
  <si>
    <t>Tahunan</t>
  </si>
  <si>
    <t>Ukuran</t>
  </si>
  <si>
    <t>Satuan</t>
  </si>
  <si>
    <t>Unit</t>
  </si>
  <si>
    <t>Organisasi penanggung jawab</t>
  </si>
  <si>
    <t>Konsep</t>
  </si>
  <si>
    <t>Klasifikasi Penyajian</t>
  </si>
  <si>
    <t>Bentuk Satuan Pendidikan</t>
  </si>
  <si>
    <t>Status Satuan Pendidikan</t>
  </si>
  <si>
    <t>Jumlah Satuan Pendidikan, Tahun Ajaran 2025/2026</t>
  </si>
  <si>
    <t>Penjumlahan satuan pendidikan.</t>
  </si>
  <si>
    <t>Kementerian Pendidikan Dasar dan Menengah</t>
  </si>
  <si>
    <t>Pendidikan Anak Usia Dini (PAUD)</t>
  </si>
  <si>
    <t>Pendidikan Masyarakat (Dikmas)</t>
  </si>
  <si>
    <t>Pendidikan Dasar dan Menenegah</t>
  </si>
  <si>
    <t>Banyaknya satuan pendidikan di suatu wilayah pada tahun ajaran 2025/2026.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</si>
</sst>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0_-;\-* #,##0.00_-;_-* &quot;-&quot;_-;_-@_-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3" fontId="2" fillId="2" borderId="12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3" fontId="5" fillId="0" borderId="12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 wrapText="1"/>
    </xf>
    <xf numFmtId="0" fontId="6" fillId="3" borderId="12" xfId="0" applyFont="1" applyFill="1" applyBorder="1" applyAlignment="1">
      <alignment wrapText="1"/>
    </xf>
    <xf numFmtId="0" fontId="6" fillId="3" borderId="12" xfId="0" applyFont="1" applyFill="1" applyBorder="1" applyAlignment="1">
      <alignment vertical="center" wrapText="1"/>
    </xf>
    <xf numFmtId="0" fontId="7" fillId="3" borderId="12" xfId="0" quotePrefix="1" applyFont="1" applyFill="1" applyBorder="1" applyAlignment="1">
      <alignment wrapText="1"/>
    </xf>
    <xf numFmtId="0" fontId="1" fillId="0" borderId="12" xfId="0" applyFont="1" applyBorder="1" applyAlignment="1">
      <alignment horizontal="left" vertical="center" wrapText="1"/>
    </xf>
    <xf numFmtId="164" fontId="5" fillId="0" borderId="11" xfId="0" applyNumberFormat="1" applyFont="1" applyBorder="1"/>
    <xf numFmtId="165" fontId="0" fillId="0" borderId="0" xfId="0" applyNumberFormat="1"/>
    <xf numFmtId="0" fontId="5" fillId="0" borderId="2" xfId="0" applyFont="1" applyBorder="1" applyAlignment="1">
      <alignment horizontal="center"/>
    </xf>
    <xf numFmtId="0" fontId="3" fillId="0" borderId="4" xfId="0" applyFont="1" applyBorder="1"/>
    <xf numFmtId="3" fontId="2" fillId="2" borderId="2" xfId="0" applyNumberFormat="1" applyFont="1" applyFill="1" applyBorder="1" applyAlignment="1">
      <alignment horizontal="center" vertical="center"/>
    </xf>
    <xf numFmtId="0" fontId="3" fillId="0" borderId="3" xfId="0" applyFont="1" applyBorder="1"/>
    <xf numFmtId="3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3" fontId="2" fillId="2" borderId="2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/>
    </xf>
    <xf numFmtId="3" fontId="2" fillId="2" borderId="9" xfId="0" applyNumberFormat="1" applyFont="1" applyFill="1" applyBorder="1" applyAlignment="1">
      <alignment horizontal="center" vertical="center"/>
    </xf>
    <xf numFmtId="3" fontId="2" fillId="2" borderId="10" xfId="0" applyNumberFormat="1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11" xfId="0" applyFont="1" applyBorder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4"/>
  <sheetViews>
    <sheetView topLeftCell="N1" workbookViewId="0">
      <selection activeCell="N43" sqref="N43"/>
    </sheetView>
  </sheetViews>
  <sheetFormatPr defaultColWidth="14.42578125" defaultRowHeight="15" customHeight="1" x14ac:dyDescent="0.25"/>
  <cols>
    <col min="1" max="2" width="8.7109375" customWidth="1"/>
    <col min="3" max="3" width="22.5703125" customWidth="1"/>
    <col min="4" max="39" width="8.7109375" customWidth="1"/>
  </cols>
  <sheetData>
    <row r="1" spans="1:53" ht="14.25" customHeight="1" x14ac:dyDescent="0.25">
      <c r="A1" s="1" t="s">
        <v>76</v>
      </c>
    </row>
    <row r="2" spans="1:53" ht="14.25" customHeight="1" x14ac:dyDescent="0.25"/>
    <row r="3" spans="1:53" ht="15" customHeight="1" x14ac:dyDescent="0.25">
      <c r="A3" s="25" t="s">
        <v>0</v>
      </c>
      <c r="B3" s="37" t="s">
        <v>1</v>
      </c>
      <c r="C3" s="25" t="s">
        <v>2</v>
      </c>
      <c r="D3" s="24" t="s">
        <v>79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18"/>
      <c r="P3" s="24" t="s">
        <v>80</v>
      </c>
      <c r="Q3" s="20"/>
      <c r="R3" s="20"/>
      <c r="S3" s="20"/>
      <c r="T3" s="20"/>
      <c r="U3" s="20"/>
      <c r="V3" s="20"/>
      <c r="W3" s="20"/>
      <c r="X3" s="18"/>
      <c r="Y3" s="34" t="s">
        <v>81</v>
      </c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6"/>
    </row>
    <row r="4" spans="1:53" ht="28.5" customHeight="1" x14ac:dyDescent="0.25">
      <c r="A4" s="26"/>
      <c r="B4" s="38"/>
      <c r="C4" s="26"/>
      <c r="D4" s="19" t="s">
        <v>9</v>
      </c>
      <c r="E4" s="20"/>
      <c r="F4" s="18"/>
      <c r="G4" s="19" t="s">
        <v>10</v>
      </c>
      <c r="H4" s="20"/>
      <c r="I4" s="18"/>
      <c r="J4" s="21" t="s">
        <v>11</v>
      </c>
      <c r="K4" s="22"/>
      <c r="L4" s="23"/>
      <c r="M4" s="19" t="s">
        <v>12</v>
      </c>
      <c r="N4" s="20"/>
      <c r="O4" s="18"/>
      <c r="P4" s="19" t="s">
        <v>13</v>
      </c>
      <c r="Q4" s="20"/>
      <c r="R4" s="18"/>
      <c r="S4" s="21" t="s">
        <v>14</v>
      </c>
      <c r="T4" s="22"/>
      <c r="U4" s="23"/>
      <c r="V4" s="19" t="s">
        <v>15</v>
      </c>
      <c r="W4" s="20"/>
      <c r="X4" s="18"/>
      <c r="Y4" s="31" t="s">
        <v>4</v>
      </c>
      <c r="Z4" s="32"/>
      <c r="AA4" s="33"/>
      <c r="AB4" s="28" t="s">
        <v>5</v>
      </c>
      <c r="AC4" s="29"/>
      <c r="AD4" s="30"/>
      <c r="AE4" s="28" t="s">
        <v>6</v>
      </c>
      <c r="AF4" s="29"/>
      <c r="AG4" s="30"/>
      <c r="AH4" s="28" t="s">
        <v>7</v>
      </c>
      <c r="AI4" s="29"/>
      <c r="AJ4" s="30"/>
      <c r="AK4" s="31" t="s">
        <v>8</v>
      </c>
      <c r="AL4" s="32"/>
      <c r="AM4" s="33"/>
    </row>
    <row r="5" spans="1:53" ht="14.25" customHeight="1" x14ac:dyDescent="0.25">
      <c r="A5" s="27"/>
      <c r="B5" s="39"/>
      <c r="C5" s="27"/>
      <c r="D5" s="2" t="s">
        <v>16</v>
      </c>
      <c r="E5" s="2" t="s">
        <v>17</v>
      </c>
      <c r="F5" s="2" t="s">
        <v>18</v>
      </c>
      <c r="G5" s="2" t="s">
        <v>16</v>
      </c>
      <c r="H5" s="2" t="s">
        <v>17</v>
      </c>
      <c r="I5" s="2" t="s">
        <v>18</v>
      </c>
      <c r="J5" s="2" t="s">
        <v>16</v>
      </c>
      <c r="K5" s="2" t="s">
        <v>17</v>
      </c>
      <c r="L5" s="2" t="s">
        <v>18</v>
      </c>
      <c r="M5" s="2" t="s">
        <v>16</v>
      </c>
      <c r="N5" s="2" t="s">
        <v>17</v>
      </c>
      <c r="O5" s="2" t="s">
        <v>18</v>
      </c>
      <c r="P5" s="2" t="s">
        <v>16</v>
      </c>
      <c r="Q5" s="2" t="s">
        <v>17</v>
      </c>
      <c r="R5" s="2" t="s">
        <v>18</v>
      </c>
      <c r="S5" s="2" t="s">
        <v>16</v>
      </c>
      <c r="T5" s="2" t="s">
        <v>17</v>
      </c>
      <c r="U5" s="2" t="s">
        <v>18</v>
      </c>
      <c r="V5" s="2" t="s">
        <v>16</v>
      </c>
      <c r="W5" s="2" t="s">
        <v>17</v>
      </c>
      <c r="X5" s="2" t="s">
        <v>18</v>
      </c>
      <c r="Y5" s="2" t="s">
        <v>16</v>
      </c>
      <c r="Z5" s="2" t="s">
        <v>17</v>
      </c>
      <c r="AA5" s="2" t="s">
        <v>18</v>
      </c>
      <c r="AB5" s="2" t="s">
        <v>16</v>
      </c>
      <c r="AC5" s="2" t="s">
        <v>17</v>
      </c>
      <c r="AD5" s="2" t="s">
        <v>18</v>
      </c>
      <c r="AE5" s="2" t="s">
        <v>16</v>
      </c>
      <c r="AF5" s="2" t="s">
        <v>17</v>
      </c>
      <c r="AG5" s="2" t="s">
        <v>18</v>
      </c>
      <c r="AH5" s="2" t="s">
        <v>16</v>
      </c>
      <c r="AI5" s="2" t="s">
        <v>17</v>
      </c>
      <c r="AJ5" s="2" t="s">
        <v>18</v>
      </c>
      <c r="AK5" s="2" t="s">
        <v>16</v>
      </c>
      <c r="AL5" s="2" t="s">
        <v>17</v>
      </c>
      <c r="AM5" s="2" t="s">
        <v>18</v>
      </c>
    </row>
    <row r="6" spans="1:53" ht="14.25" customHeight="1" x14ac:dyDescent="0.25">
      <c r="A6" s="3">
        <v>1</v>
      </c>
      <c r="B6" s="4">
        <v>11</v>
      </c>
      <c r="C6" s="5" t="s">
        <v>24</v>
      </c>
      <c r="D6" s="15">
        <v>828</v>
      </c>
      <c r="E6" s="15">
        <v>1864</v>
      </c>
      <c r="F6" s="15">
        <v>2692</v>
      </c>
      <c r="G6" s="15">
        <v>0</v>
      </c>
      <c r="H6" s="15">
        <v>1916</v>
      </c>
      <c r="I6" s="15">
        <f>G6+H6</f>
        <v>1916</v>
      </c>
      <c r="J6" s="15">
        <v>0</v>
      </c>
      <c r="K6" s="15">
        <v>106</v>
      </c>
      <c r="L6" s="15">
        <v>106</v>
      </c>
      <c r="M6" s="15">
        <v>0</v>
      </c>
      <c r="N6" s="15">
        <v>121</v>
      </c>
      <c r="O6" s="15">
        <v>121</v>
      </c>
      <c r="P6" s="15">
        <v>1</v>
      </c>
      <c r="Q6" s="15">
        <v>434</v>
      </c>
      <c r="R6" s="15">
        <v>435</v>
      </c>
      <c r="S6" s="15">
        <v>0</v>
      </c>
      <c r="T6" s="15">
        <v>331</v>
      </c>
      <c r="U6" s="15">
        <v>331</v>
      </c>
      <c r="V6" s="15">
        <v>23</v>
      </c>
      <c r="W6" s="15">
        <v>0</v>
      </c>
      <c r="X6" s="15">
        <v>23</v>
      </c>
      <c r="Y6" s="15">
        <v>3336</v>
      </c>
      <c r="Z6" s="15">
        <v>221</v>
      </c>
      <c r="AA6" s="15">
        <v>3557</v>
      </c>
      <c r="AB6" s="15">
        <v>910</v>
      </c>
      <c r="AC6" s="15">
        <v>448</v>
      </c>
      <c r="AD6" s="15">
        <v>1358</v>
      </c>
      <c r="AE6" s="15">
        <v>398</v>
      </c>
      <c r="AF6" s="15">
        <v>155</v>
      </c>
      <c r="AG6" s="15">
        <v>553</v>
      </c>
      <c r="AH6" s="15">
        <v>154</v>
      </c>
      <c r="AI6" s="15">
        <v>71</v>
      </c>
      <c r="AJ6" s="15">
        <v>225</v>
      </c>
      <c r="AK6" s="15">
        <v>30</v>
      </c>
      <c r="AL6" s="15">
        <v>39</v>
      </c>
      <c r="AM6" s="15">
        <v>69</v>
      </c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</row>
    <row r="7" spans="1:53" ht="14.25" customHeight="1" x14ac:dyDescent="0.25">
      <c r="A7" s="3">
        <v>2</v>
      </c>
      <c r="B7" s="4">
        <v>12</v>
      </c>
      <c r="C7" s="5" t="s">
        <v>25</v>
      </c>
      <c r="D7" s="15">
        <v>270</v>
      </c>
      <c r="E7" s="15">
        <v>3106</v>
      </c>
      <c r="F7" s="15">
        <v>3376</v>
      </c>
      <c r="G7" s="15">
        <v>3</v>
      </c>
      <c r="H7" s="15">
        <v>4014</v>
      </c>
      <c r="I7" s="15">
        <f t="shared" ref="I7:I44" si="0">G7+H7</f>
        <v>4017</v>
      </c>
      <c r="J7" s="15">
        <v>0</v>
      </c>
      <c r="K7" s="15">
        <v>37</v>
      </c>
      <c r="L7" s="15">
        <v>37</v>
      </c>
      <c r="M7" s="15">
        <v>0</v>
      </c>
      <c r="N7" s="15">
        <v>291</v>
      </c>
      <c r="O7" s="15">
        <v>291</v>
      </c>
      <c r="P7" s="15">
        <v>2</v>
      </c>
      <c r="Q7" s="15">
        <v>1401</v>
      </c>
      <c r="R7" s="15">
        <v>1403</v>
      </c>
      <c r="S7" s="15">
        <v>0</v>
      </c>
      <c r="T7" s="15">
        <v>473</v>
      </c>
      <c r="U7" s="15">
        <v>473</v>
      </c>
      <c r="V7" s="15">
        <v>22</v>
      </c>
      <c r="W7" s="15">
        <v>0</v>
      </c>
      <c r="X7" s="15">
        <v>22</v>
      </c>
      <c r="Y7" s="15">
        <v>7982</v>
      </c>
      <c r="Z7" s="15">
        <v>1653</v>
      </c>
      <c r="AA7" s="15">
        <v>9635</v>
      </c>
      <c r="AB7" s="15">
        <v>1346</v>
      </c>
      <c r="AC7" s="15">
        <v>1378</v>
      </c>
      <c r="AD7" s="15">
        <v>2724</v>
      </c>
      <c r="AE7" s="15">
        <v>440</v>
      </c>
      <c r="AF7" s="15">
        <v>638</v>
      </c>
      <c r="AG7" s="15">
        <v>1078</v>
      </c>
      <c r="AH7" s="15">
        <v>281</v>
      </c>
      <c r="AI7" s="15">
        <v>656</v>
      </c>
      <c r="AJ7" s="15">
        <v>937</v>
      </c>
      <c r="AK7" s="15">
        <v>29</v>
      </c>
      <c r="AL7" s="15">
        <v>35</v>
      </c>
      <c r="AM7" s="15">
        <v>64</v>
      </c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</row>
    <row r="8" spans="1:53" ht="14.25" customHeight="1" x14ac:dyDescent="0.25">
      <c r="A8" s="3">
        <v>3</v>
      </c>
      <c r="B8" s="4">
        <v>13</v>
      </c>
      <c r="C8" s="5" t="s">
        <v>26</v>
      </c>
      <c r="D8" s="15">
        <v>197</v>
      </c>
      <c r="E8" s="15">
        <v>2500</v>
      </c>
      <c r="F8" s="15">
        <v>2697</v>
      </c>
      <c r="G8" s="15">
        <v>6</v>
      </c>
      <c r="H8" s="15">
        <v>1499</v>
      </c>
      <c r="I8" s="15">
        <f t="shared" si="0"/>
        <v>1505</v>
      </c>
      <c r="J8" s="15">
        <v>1</v>
      </c>
      <c r="K8" s="15">
        <v>86</v>
      </c>
      <c r="L8" s="15">
        <v>87</v>
      </c>
      <c r="M8" s="15">
        <v>0</v>
      </c>
      <c r="N8" s="15">
        <v>297</v>
      </c>
      <c r="O8" s="15">
        <v>297</v>
      </c>
      <c r="P8" s="15">
        <v>0</v>
      </c>
      <c r="Q8" s="15">
        <v>206</v>
      </c>
      <c r="R8" s="15">
        <v>206</v>
      </c>
      <c r="S8" s="15">
        <v>0</v>
      </c>
      <c r="T8" s="15">
        <v>273</v>
      </c>
      <c r="U8" s="15">
        <v>273</v>
      </c>
      <c r="V8" s="15">
        <v>20</v>
      </c>
      <c r="W8" s="15">
        <v>0</v>
      </c>
      <c r="X8" s="15">
        <v>20</v>
      </c>
      <c r="Y8" s="15">
        <v>3894</v>
      </c>
      <c r="Z8" s="15">
        <v>353</v>
      </c>
      <c r="AA8" s="15">
        <v>4247</v>
      </c>
      <c r="AB8" s="15">
        <v>678</v>
      </c>
      <c r="AC8" s="15">
        <v>197</v>
      </c>
      <c r="AD8" s="15">
        <v>875</v>
      </c>
      <c r="AE8" s="15">
        <v>243</v>
      </c>
      <c r="AF8" s="15">
        <v>116</v>
      </c>
      <c r="AG8" s="15">
        <v>359</v>
      </c>
      <c r="AH8" s="15">
        <v>117</v>
      </c>
      <c r="AI8" s="15">
        <v>95</v>
      </c>
      <c r="AJ8" s="15">
        <v>212</v>
      </c>
      <c r="AK8" s="15">
        <v>33</v>
      </c>
      <c r="AL8" s="15">
        <v>156</v>
      </c>
      <c r="AM8" s="15">
        <v>189</v>
      </c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</row>
    <row r="9" spans="1:53" ht="14.25" customHeight="1" x14ac:dyDescent="0.25">
      <c r="A9" s="3">
        <v>4</v>
      </c>
      <c r="B9" s="4">
        <v>14</v>
      </c>
      <c r="C9" s="5" t="s">
        <v>27</v>
      </c>
      <c r="D9" s="15">
        <v>186</v>
      </c>
      <c r="E9" s="15">
        <v>2328</v>
      </c>
      <c r="F9" s="15">
        <v>2514</v>
      </c>
      <c r="G9" s="15">
        <v>0</v>
      </c>
      <c r="H9" s="15">
        <v>1730</v>
      </c>
      <c r="I9" s="15">
        <f t="shared" si="0"/>
        <v>1730</v>
      </c>
      <c r="J9" s="15">
        <v>0</v>
      </c>
      <c r="K9" s="15">
        <v>95</v>
      </c>
      <c r="L9" s="15">
        <v>95</v>
      </c>
      <c r="M9" s="15">
        <v>0</v>
      </c>
      <c r="N9" s="15">
        <v>90</v>
      </c>
      <c r="O9" s="15">
        <v>90</v>
      </c>
      <c r="P9" s="15">
        <v>0</v>
      </c>
      <c r="Q9" s="15">
        <v>229</v>
      </c>
      <c r="R9" s="15">
        <v>229</v>
      </c>
      <c r="S9" s="15">
        <v>0</v>
      </c>
      <c r="T9" s="15">
        <v>235</v>
      </c>
      <c r="U9" s="15">
        <v>235</v>
      </c>
      <c r="V9" s="15">
        <v>9</v>
      </c>
      <c r="W9" s="15">
        <v>0</v>
      </c>
      <c r="X9" s="15">
        <v>9</v>
      </c>
      <c r="Y9" s="15">
        <v>3239</v>
      </c>
      <c r="Z9" s="15">
        <v>615</v>
      </c>
      <c r="AA9" s="15">
        <v>3854</v>
      </c>
      <c r="AB9" s="15">
        <v>893</v>
      </c>
      <c r="AC9" s="15">
        <v>435</v>
      </c>
      <c r="AD9" s="15">
        <v>1328</v>
      </c>
      <c r="AE9" s="15">
        <v>326</v>
      </c>
      <c r="AF9" s="15">
        <v>170</v>
      </c>
      <c r="AG9" s="15">
        <v>496</v>
      </c>
      <c r="AH9" s="15">
        <v>139</v>
      </c>
      <c r="AI9" s="15">
        <v>168</v>
      </c>
      <c r="AJ9" s="15">
        <v>307</v>
      </c>
      <c r="AK9" s="15">
        <v>18</v>
      </c>
      <c r="AL9" s="15">
        <v>37</v>
      </c>
      <c r="AM9" s="15">
        <v>55</v>
      </c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</row>
    <row r="10" spans="1:53" ht="14.25" customHeight="1" x14ac:dyDescent="0.25">
      <c r="A10" s="3">
        <v>5</v>
      </c>
      <c r="B10" s="4">
        <v>15</v>
      </c>
      <c r="C10" s="5" t="s">
        <v>28</v>
      </c>
      <c r="D10" s="15">
        <v>192</v>
      </c>
      <c r="E10" s="15">
        <v>1325</v>
      </c>
      <c r="F10" s="15">
        <v>1517</v>
      </c>
      <c r="G10" s="15">
        <v>3</v>
      </c>
      <c r="H10" s="15">
        <v>1771</v>
      </c>
      <c r="I10" s="15">
        <f t="shared" si="0"/>
        <v>1774</v>
      </c>
      <c r="J10" s="15">
        <v>0</v>
      </c>
      <c r="K10" s="15">
        <v>57</v>
      </c>
      <c r="L10" s="15">
        <v>57</v>
      </c>
      <c r="M10" s="15">
        <v>0</v>
      </c>
      <c r="N10" s="15">
        <v>179</v>
      </c>
      <c r="O10" s="15">
        <v>179</v>
      </c>
      <c r="P10" s="15">
        <v>0</v>
      </c>
      <c r="Q10" s="15">
        <v>229</v>
      </c>
      <c r="R10" s="15">
        <v>229</v>
      </c>
      <c r="S10" s="15">
        <v>0</v>
      </c>
      <c r="T10" s="15">
        <v>178</v>
      </c>
      <c r="U10" s="15">
        <v>178</v>
      </c>
      <c r="V10" s="15">
        <v>10</v>
      </c>
      <c r="W10" s="15">
        <v>0</v>
      </c>
      <c r="X10" s="15">
        <v>10</v>
      </c>
      <c r="Y10" s="15">
        <v>2302</v>
      </c>
      <c r="Z10" s="15">
        <v>184</v>
      </c>
      <c r="AA10" s="15">
        <v>2486</v>
      </c>
      <c r="AB10" s="15">
        <v>559</v>
      </c>
      <c r="AC10" s="15">
        <v>167</v>
      </c>
      <c r="AD10" s="15">
        <v>726</v>
      </c>
      <c r="AE10" s="15">
        <v>165</v>
      </c>
      <c r="AF10" s="15">
        <v>92</v>
      </c>
      <c r="AG10" s="15">
        <v>257</v>
      </c>
      <c r="AH10" s="15">
        <v>108</v>
      </c>
      <c r="AI10" s="15">
        <v>73</v>
      </c>
      <c r="AJ10" s="15">
        <v>181</v>
      </c>
      <c r="AK10" s="15">
        <v>16</v>
      </c>
      <c r="AL10" s="15">
        <v>8</v>
      </c>
      <c r="AM10" s="15">
        <v>24</v>
      </c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</row>
    <row r="11" spans="1:53" ht="14.25" customHeight="1" x14ac:dyDescent="0.25">
      <c r="A11" s="3">
        <v>6</v>
      </c>
      <c r="B11" s="4">
        <v>16</v>
      </c>
      <c r="C11" s="5" t="s">
        <v>29</v>
      </c>
      <c r="D11" s="15">
        <v>161</v>
      </c>
      <c r="E11" s="15">
        <v>2304</v>
      </c>
      <c r="F11" s="15">
        <v>2465</v>
      </c>
      <c r="G11" s="15">
        <v>1</v>
      </c>
      <c r="H11" s="15">
        <v>2852</v>
      </c>
      <c r="I11" s="15">
        <f t="shared" si="0"/>
        <v>2853</v>
      </c>
      <c r="J11" s="15">
        <v>0</v>
      </c>
      <c r="K11" s="15">
        <v>13</v>
      </c>
      <c r="L11" s="15">
        <v>13</v>
      </c>
      <c r="M11" s="15">
        <v>0</v>
      </c>
      <c r="N11" s="15">
        <v>111</v>
      </c>
      <c r="O11" s="15">
        <v>111</v>
      </c>
      <c r="P11" s="15">
        <v>0</v>
      </c>
      <c r="Q11" s="15">
        <v>324</v>
      </c>
      <c r="R11" s="15">
        <v>324</v>
      </c>
      <c r="S11" s="15">
        <v>0</v>
      </c>
      <c r="T11" s="15">
        <v>278</v>
      </c>
      <c r="U11" s="15">
        <v>278</v>
      </c>
      <c r="V11" s="15">
        <v>13</v>
      </c>
      <c r="W11" s="15">
        <v>0</v>
      </c>
      <c r="X11" s="15">
        <v>13</v>
      </c>
      <c r="Y11" s="15">
        <v>4247</v>
      </c>
      <c r="Z11" s="15">
        <v>497</v>
      </c>
      <c r="AA11" s="15">
        <v>4744</v>
      </c>
      <c r="AB11" s="15">
        <v>906</v>
      </c>
      <c r="AC11" s="15">
        <v>578</v>
      </c>
      <c r="AD11" s="15">
        <v>1484</v>
      </c>
      <c r="AE11" s="15">
        <v>333</v>
      </c>
      <c r="AF11" s="15">
        <v>287</v>
      </c>
      <c r="AG11" s="15">
        <v>620</v>
      </c>
      <c r="AH11" s="15">
        <v>121</v>
      </c>
      <c r="AI11" s="15">
        <v>183</v>
      </c>
      <c r="AJ11" s="15">
        <v>304</v>
      </c>
      <c r="AK11" s="15">
        <v>16</v>
      </c>
      <c r="AL11" s="15">
        <v>24</v>
      </c>
      <c r="AM11" s="15">
        <v>40</v>
      </c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</row>
    <row r="12" spans="1:53" ht="14.25" customHeight="1" x14ac:dyDescent="0.25">
      <c r="A12" s="3">
        <v>7</v>
      </c>
      <c r="B12" s="4">
        <v>17</v>
      </c>
      <c r="C12" s="5" t="s">
        <v>43</v>
      </c>
      <c r="D12" s="15">
        <v>150</v>
      </c>
      <c r="E12" s="15">
        <v>992</v>
      </c>
      <c r="F12" s="15">
        <v>1142</v>
      </c>
      <c r="G12" s="15">
        <v>1</v>
      </c>
      <c r="H12" s="15">
        <v>594</v>
      </c>
      <c r="I12" s="15">
        <f t="shared" si="0"/>
        <v>595</v>
      </c>
      <c r="J12" s="15">
        <v>0</v>
      </c>
      <c r="K12" s="15">
        <v>63</v>
      </c>
      <c r="L12" s="15">
        <v>63</v>
      </c>
      <c r="M12" s="15">
        <v>0</v>
      </c>
      <c r="N12" s="15">
        <v>55</v>
      </c>
      <c r="O12" s="15">
        <v>55</v>
      </c>
      <c r="P12" s="15">
        <v>1</v>
      </c>
      <c r="Q12" s="15">
        <v>128</v>
      </c>
      <c r="R12" s="15">
        <v>129</v>
      </c>
      <c r="S12" s="15">
        <v>0</v>
      </c>
      <c r="T12" s="15">
        <v>141</v>
      </c>
      <c r="U12" s="15">
        <v>141</v>
      </c>
      <c r="V12" s="15">
        <v>10</v>
      </c>
      <c r="W12" s="15">
        <v>0</v>
      </c>
      <c r="X12" s="15">
        <v>10</v>
      </c>
      <c r="Y12" s="15">
        <v>1285</v>
      </c>
      <c r="Z12" s="15">
        <v>123</v>
      </c>
      <c r="AA12" s="15">
        <v>1408</v>
      </c>
      <c r="AB12" s="15">
        <v>381</v>
      </c>
      <c r="AC12" s="15">
        <v>83</v>
      </c>
      <c r="AD12" s="15">
        <v>464</v>
      </c>
      <c r="AE12" s="15">
        <v>111</v>
      </c>
      <c r="AF12" s="15">
        <v>42</v>
      </c>
      <c r="AG12" s="15">
        <v>153</v>
      </c>
      <c r="AH12" s="15">
        <v>65</v>
      </c>
      <c r="AI12" s="15">
        <v>35</v>
      </c>
      <c r="AJ12" s="15">
        <v>100</v>
      </c>
      <c r="AK12" s="15">
        <v>15</v>
      </c>
      <c r="AL12" s="15">
        <v>3</v>
      </c>
      <c r="AM12" s="15">
        <v>18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</row>
    <row r="13" spans="1:53" ht="14.25" customHeight="1" x14ac:dyDescent="0.25">
      <c r="A13" s="3">
        <v>8</v>
      </c>
      <c r="B13" s="4">
        <v>18</v>
      </c>
      <c r="C13" s="5" t="s">
        <v>30</v>
      </c>
      <c r="D13" s="15">
        <v>123</v>
      </c>
      <c r="E13" s="15">
        <v>3159</v>
      </c>
      <c r="F13" s="15">
        <v>3282</v>
      </c>
      <c r="G13" s="15">
        <v>1</v>
      </c>
      <c r="H13" s="15">
        <v>2213</v>
      </c>
      <c r="I13" s="15">
        <f t="shared" si="0"/>
        <v>2214</v>
      </c>
      <c r="J13" s="15">
        <v>0</v>
      </c>
      <c r="K13" s="15">
        <v>27</v>
      </c>
      <c r="L13" s="15">
        <v>27</v>
      </c>
      <c r="M13" s="15">
        <v>0</v>
      </c>
      <c r="N13" s="15">
        <v>180</v>
      </c>
      <c r="O13" s="15">
        <v>180</v>
      </c>
      <c r="P13" s="15">
        <v>0</v>
      </c>
      <c r="Q13" s="15">
        <v>324</v>
      </c>
      <c r="R13" s="15">
        <v>324</v>
      </c>
      <c r="S13" s="15">
        <v>0</v>
      </c>
      <c r="T13" s="15">
        <v>271</v>
      </c>
      <c r="U13" s="15">
        <v>271</v>
      </c>
      <c r="V13" s="15">
        <v>13</v>
      </c>
      <c r="W13" s="15">
        <v>0</v>
      </c>
      <c r="X13" s="15">
        <v>13</v>
      </c>
      <c r="Y13" s="15">
        <v>4282</v>
      </c>
      <c r="Z13" s="15">
        <v>462</v>
      </c>
      <c r="AA13" s="15">
        <v>4744</v>
      </c>
      <c r="AB13" s="15">
        <v>709</v>
      </c>
      <c r="AC13" s="15">
        <v>797</v>
      </c>
      <c r="AD13" s="15">
        <v>1506</v>
      </c>
      <c r="AE13" s="15">
        <v>243</v>
      </c>
      <c r="AF13" s="15">
        <v>293</v>
      </c>
      <c r="AG13" s="15">
        <v>536</v>
      </c>
      <c r="AH13" s="15">
        <v>112</v>
      </c>
      <c r="AI13" s="15">
        <v>376</v>
      </c>
      <c r="AJ13" s="15">
        <v>488</v>
      </c>
      <c r="AK13" s="15">
        <v>13</v>
      </c>
      <c r="AL13" s="15">
        <v>19</v>
      </c>
      <c r="AM13" s="15">
        <v>32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</row>
    <row r="14" spans="1:53" ht="14.25" customHeight="1" x14ac:dyDescent="0.25">
      <c r="A14" s="3">
        <v>9</v>
      </c>
      <c r="B14" s="4">
        <v>19</v>
      </c>
      <c r="C14" s="5" t="s">
        <v>46</v>
      </c>
      <c r="D14" s="15">
        <v>85</v>
      </c>
      <c r="E14" s="15">
        <v>301</v>
      </c>
      <c r="F14" s="15">
        <v>386</v>
      </c>
      <c r="G14" s="15">
        <v>2</v>
      </c>
      <c r="H14" s="15">
        <v>361</v>
      </c>
      <c r="I14" s="15">
        <f t="shared" si="0"/>
        <v>363</v>
      </c>
      <c r="J14" s="15">
        <v>0</v>
      </c>
      <c r="K14" s="15">
        <v>41</v>
      </c>
      <c r="L14" s="15">
        <v>41</v>
      </c>
      <c r="M14" s="15">
        <v>0</v>
      </c>
      <c r="N14" s="15">
        <v>54</v>
      </c>
      <c r="O14" s="15">
        <v>54</v>
      </c>
      <c r="P14" s="15">
        <v>0</v>
      </c>
      <c r="Q14" s="15">
        <v>63</v>
      </c>
      <c r="R14" s="15">
        <v>63</v>
      </c>
      <c r="S14" s="15">
        <v>0</v>
      </c>
      <c r="T14" s="15">
        <v>52</v>
      </c>
      <c r="U14" s="15">
        <v>52</v>
      </c>
      <c r="V14" s="15">
        <v>7</v>
      </c>
      <c r="W14" s="15">
        <v>0</v>
      </c>
      <c r="X14" s="15">
        <v>7</v>
      </c>
      <c r="Y14" s="15">
        <v>761</v>
      </c>
      <c r="Z14" s="15">
        <v>72</v>
      </c>
      <c r="AA14" s="15">
        <v>833</v>
      </c>
      <c r="AB14" s="15">
        <v>164</v>
      </c>
      <c r="AC14" s="15">
        <v>77</v>
      </c>
      <c r="AD14" s="15">
        <v>241</v>
      </c>
      <c r="AE14" s="15">
        <v>47</v>
      </c>
      <c r="AF14" s="15">
        <v>36</v>
      </c>
      <c r="AG14" s="15">
        <v>83</v>
      </c>
      <c r="AH14" s="15">
        <v>36</v>
      </c>
      <c r="AI14" s="15">
        <v>22</v>
      </c>
      <c r="AJ14" s="15">
        <v>58</v>
      </c>
      <c r="AK14" s="15">
        <v>7</v>
      </c>
      <c r="AL14" s="15">
        <v>3</v>
      </c>
      <c r="AM14" s="15">
        <v>10</v>
      </c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</row>
    <row r="15" spans="1:53" ht="14.25" customHeight="1" x14ac:dyDescent="0.25">
      <c r="A15" s="3">
        <v>10</v>
      </c>
      <c r="B15" s="4">
        <v>21</v>
      </c>
      <c r="C15" s="5" t="s">
        <v>48</v>
      </c>
      <c r="D15" s="15">
        <v>98</v>
      </c>
      <c r="E15" s="15">
        <v>569</v>
      </c>
      <c r="F15" s="15">
        <v>667</v>
      </c>
      <c r="G15" s="15">
        <v>0</v>
      </c>
      <c r="H15" s="15">
        <v>360</v>
      </c>
      <c r="I15" s="15">
        <f t="shared" si="0"/>
        <v>360</v>
      </c>
      <c r="J15" s="15">
        <v>0</v>
      </c>
      <c r="K15" s="15">
        <v>15</v>
      </c>
      <c r="L15" s="15">
        <v>15</v>
      </c>
      <c r="M15" s="15">
        <v>0</v>
      </c>
      <c r="N15" s="15">
        <v>118</v>
      </c>
      <c r="O15" s="15">
        <v>118</v>
      </c>
      <c r="P15" s="15">
        <v>1</v>
      </c>
      <c r="Q15" s="15">
        <v>145</v>
      </c>
      <c r="R15" s="15">
        <v>146</v>
      </c>
      <c r="S15" s="15">
        <v>0</v>
      </c>
      <c r="T15" s="15">
        <v>69</v>
      </c>
      <c r="U15" s="15">
        <v>69</v>
      </c>
      <c r="V15" s="15">
        <v>5</v>
      </c>
      <c r="W15" s="15">
        <v>0</v>
      </c>
      <c r="X15" s="15">
        <v>5</v>
      </c>
      <c r="Y15" s="15">
        <v>683</v>
      </c>
      <c r="Z15" s="15">
        <v>301</v>
      </c>
      <c r="AA15" s="15">
        <v>984</v>
      </c>
      <c r="AB15" s="15">
        <v>237</v>
      </c>
      <c r="AC15" s="15">
        <v>190</v>
      </c>
      <c r="AD15" s="15">
        <v>427</v>
      </c>
      <c r="AE15" s="15">
        <v>96</v>
      </c>
      <c r="AF15" s="15">
        <v>79</v>
      </c>
      <c r="AG15" s="15">
        <v>175</v>
      </c>
      <c r="AH15" s="15">
        <v>39</v>
      </c>
      <c r="AI15" s="15">
        <v>61</v>
      </c>
      <c r="AJ15" s="15">
        <v>100</v>
      </c>
      <c r="AK15" s="15">
        <v>10</v>
      </c>
      <c r="AL15" s="15">
        <v>15</v>
      </c>
      <c r="AM15" s="15">
        <v>25</v>
      </c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</row>
    <row r="16" spans="1:53" ht="14.25" customHeight="1" x14ac:dyDescent="0.25">
      <c r="A16" s="3">
        <v>11</v>
      </c>
      <c r="B16" s="4">
        <v>31</v>
      </c>
      <c r="C16" s="5" t="s">
        <v>19</v>
      </c>
      <c r="D16" s="15">
        <v>79</v>
      </c>
      <c r="E16" s="15">
        <v>1804</v>
      </c>
      <c r="F16" s="15">
        <v>1883</v>
      </c>
      <c r="G16" s="15">
        <v>23</v>
      </c>
      <c r="H16" s="15">
        <v>384</v>
      </c>
      <c r="I16" s="15">
        <f t="shared" si="0"/>
        <v>407</v>
      </c>
      <c r="J16" s="15">
        <v>22</v>
      </c>
      <c r="K16" s="15">
        <v>26</v>
      </c>
      <c r="L16" s="15">
        <v>48</v>
      </c>
      <c r="M16" s="15">
        <v>43</v>
      </c>
      <c r="N16" s="15">
        <v>1665</v>
      </c>
      <c r="O16" s="15">
        <v>1708</v>
      </c>
      <c r="P16" s="15">
        <v>1</v>
      </c>
      <c r="Q16" s="15">
        <v>477</v>
      </c>
      <c r="R16" s="15">
        <v>478</v>
      </c>
      <c r="S16" s="15">
        <v>0</v>
      </c>
      <c r="T16" s="15">
        <v>282</v>
      </c>
      <c r="U16" s="15">
        <v>282</v>
      </c>
      <c r="V16" s="15">
        <v>39</v>
      </c>
      <c r="W16" s="15">
        <v>0</v>
      </c>
      <c r="X16" s="15">
        <v>39</v>
      </c>
      <c r="Y16" s="15">
        <v>1305</v>
      </c>
      <c r="Z16" s="15">
        <v>918</v>
      </c>
      <c r="AA16" s="15">
        <v>2223</v>
      </c>
      <c r="AB16" s="15">
        <v>299</v>
      </c>
      <c r="AC16" s="15">
        <v>775</v>
      </c>
      <c r="AD16" s="15">
        <v>1074</v>
      </c>
      <c r="AE16" s="15">
        <v>121</v>
      </c>
      <c r="AF16" s="15">
        <v>389</v>
      </c>
      <c r="AG16" s="15">
        <v>510</v>
      </c>
      <c r="AH16" s="15">
        <v>74</v>
      </c>
      <c r="AI16" s="15">
        <v>479</v>
      </c>
      <c r="AJ16" s="15">
        <v>553</v>
      </c>
      <c r="AK16" s="15">
        <v>13</v>
      </c>
      <c r="AL16" s="15">
        <v>73</v>
      </c>
      <c r="AM16" s="15">
        <v>86</v>
      </c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ht="14.25" customHeight="1" x14ac:dyDescent="0.25">
      <c r="A17" s="3">
        <v>12</v>
      </c>
      <c r="B17" s="4">
        <v>32</v>
      </c>
      <c r="C17" s="5" t="s">
        <v>20</v>
      </c>
      <c r="D17" s="15">
        <v>188</v>
      </c>
      <c r="E17" s="15">
        <v>9641</v>
      </c>
      <c r="F17" s="15">
        <v>9829</v>
      </c>
      <c r="G17" s="15">
        <v>3</v>
      </c>
      <c r="H17" s="15">
        <v>13264</v>
      </c>
      <c r="I17" s="15">
        <f t="shared" si="0"/>
        <v>13267</v>
      </c>
      <c r="J17" s="15">
        <v>0</v>
      </c>
      <c r="K17" s="15">
        <v>133</v>
      </c>
      <c r="L17" s="15">
        <v>133</v>
      </c>
      <c r="M17" s="15">
        <v>0</v>
      </c>
      <c r="N17" s="15">
        <v>6334</v>
      </c>
      <c r="O17" s="15">
        <v>6334</v>
      </c>
      <c r="P17" s="15">
        <v>1</v>
      </c>
      <c r="Q17" s="15">
        <v>2029</v>
      </c>
      <c r="R17" s="15">
        <v>2030</v>
      </c>
      <c r="S17" s="15">
        <v>0</v>
      </c>
      <c r="T17" s="15">
        <v>2354</v>
      </c>
      <c r="U17" s="15">
        <v>2354</v>
      </c>
      <c r="V17" s="15">
        <v>26</v>
      </c>
      <c r="W17" s="15">
        <v>0</v>
      </c>
      <c r="X17" s="15">
        <v>26</v>
      </c>
      <c r="Y17" s="15">
        <v>16936</v>
      </c>
      <c r="Z17" s="15">
        <v>2634</v>
      </c>
      <c r="AA17" s="15">
        <v>19570</v>
      </c>
      <c r="AB17" s="15">
        <v>2013</v>
      </c>
      <c r="AC17" s="15">
        <v>4134</v>
      </c>
      <c r="AD17" s="15">
        <v>6147</v>
      </c>
      <c r="AE17" s="15">
        <v>521</v>
      </c>
      <c r="AF17" s="15">
        <v>1337</v>
      </c>
      <c r="AG17" s="15">
        <v>1858</v>
      </c>
      <c r="AH17" s="15">
        <v>289</v>
      </c>
      <c r="AI17" s="15">
        <v>2602</v>
      </c>
      <c r="AJ17" s="15">
        <v>2891</v>
      </c>
      <c r="AK17" s="15">
        <v>59</v>
      </c>
      <c r="AL17" s="15">
        <v>335</v>
      </c>
      <c r="AM17" s="15">
        <v>394</v>
      </c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</row>
    <row r="18" spans="1:53" ht="14.25" customHeight="1" x14ac:dyDescent="0.25">
      <c r="A18" s="3">
        <v>13</v>
      </c>
      <c r="B18" s="4">
        <v>33</v>
      </c>
      <c r="C18" s="5" t="s">
        <v>21</v>
      </c>
      <c r="D18" s="15">
        <v>206</v>
      </c>
      <c r="E18" s="15">
        <v>14092</v>
      </c>
      <c r="F18" s="15">
        <v>14298</v>
      </c>
      <c r="G18" s="15">
        <v>7</v>
      </c>
      <c r="H18" s="15">
        <v>9797</v>
      </c>
      <c r="I18" s="15">
        <f t="shared" si="0"/>
        <v>9804</v>
      </c>
      <c r="J18" s="15">
        <v>0</v>
      </c>
      <c r="K18" s="15">
        <v>537</v>
      </c>
      <c r="L18" s="15">
        <v>537</v>
      </c>
      <c r="M18" s="15">
        <v>0</v>
      </c>
      <c r="N18" s="15">
        <v>2728</v>
      </c>
      <c r="O18" s="15">
        <v>2728</v>
      </c>
      <c r="P18" s="15">
        <v>1</v>
      </c>
      <c r="Q18" s="15">
        <v>1274</v>
      </c>
      <c r="R18" s="15">
        <v>1275</v>
      </c>
      <c r="S18" s="15">
        <v>0</v>
      </c>
      <c r="T18" s="15">
        <v>805</v>
      </c>
      <c r="U18" s="15">
        <v>805</v>
      </c>
      <c r="V18" s="15">
        <v>35</v>
      </c>
      <c r="W18" s="15">
        <v>0</v>
      </c>
      <c r="X18" s="15">
        <v>35</v>
      </c>
      <c r="Y18" s="15">
        <v>17140</v>
      </c>
      <c r="Z18" s="15">
        <v>1366</v>
      </c>
      <c r="AA18" s="15">
        <v>18506</v>
      </c>
      <c r="AB18" s="15">
        <v>1773</v>
      </c>
      <c r="AC18" s="15">
        <v>1699</v>
      </c>
      <c r="AD18" s="15">
        <v>3472</v>
      </c>
      <c r="AE18" s="15">
        <v>365</v>
      </c>
      <c r="AF18" s="15">
        <v>509</v>
      </c>
      <c r="AG18" s="15">
        <v>874</v>
      </c>
      <c r="AH18" s="15">
        <v>239</v>
      </c>
      <c r="AI18" s="15">
        <v>1288</v>
      </c>
      <c r="AJ18" s="15">
        <v>1527</v>
      </c>
      <c r="AK18" s="15">
        <v>42</v>
      </c>
      <c r="AL18" s="15">
        <v>144</v>
      </c>
      <c r="AM18" s="15">
        <v>186</v>
      </c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</row>
    <row r="19" spans="1:53" ht="14.25" customHeight="1" x14ac:dyDescent="0.25">
      <c r="A19" s="3">
        <v>14</v>
      </c>
      <c r="B19" s="4">
        <v>34</v>
      </c>
      <c r="C19" s="5" t="s">
        <v>22</v>
      </c>
      <c r="D19" s="15">
        <v>64</v>
      </c>
      <c r="E19" s="15">
        <v>2063</v>
      </c>
      <c r="F19" s="15">
        <v>2127</v>
      </c>
      <c r="G19" s="15">
        <v>0</v>
      </c>
      <c r="H19" s="15">
        <v>1512</v>
      </c>
      <c r="I19" s="15">
        <f t="shared" si="0"/>
        <v>1512</v>
      </c>
      <c r="J19" s="15">
        <v>0</v>
      </c>
      <c r="K19" s="15">
        <v>214</v>
      </c>
      <c r="L19" s="15">
        <v>214</v>
      </c>
      <c r="M19" s="15">
        <v>0</v>
      </c>
      <c r="N19" s="15">
        <v>906</v>
      </c>
      <c r="O19" s="15">
        <v>906</v>
      </c>
      <c r="P19" s="15">
        <v>0</v>
      </c>
      <c r="Q19" s="15">
        <v>197</v>
      </c>
      <c r="R19" s="15">
        <v>197</v>
      </c>
      <c r="S19" s="15">
        <v>0</v>
      </c>
      <c r="T19" s="15">
        <v>122</v>
      </c>
      <c r="U19" s="15">
        <v>122</v>
      </c>
      <c r="V19" s="15">
        <v>5</v>
      </c>
      <c r="W19" s="15">
        <v>0</v>
      </c>
      <c r="X19" s="15">
        <v>5</v>
      </c>
      <c r="Y19" s="15">
        <v>1414</v>
      </c>
      <c r="Z19" s="15">
        <v>424</v>
      </c>
      <c r="AA19" s="15">
        <v>1838</v>
      </c>
      <c r="AB19" s="15">
        <v>214</v>
      </c>
      <c r="AC19" s="15">
        <v>242</v>
      </c>
      <c r="AD19" s="15">
        <v>456</v>
      </c>
      <c r="AE19" s="15">
        <v>71</v>
      </c>
      <c r="AF19" s="15">
        <v>108</v>
      </c>
      <c r="AG19" s="15">
        <v>179</v>
      </c>
      <c r="AH19" s="15">
        <v>50</v>
      </c>
      <c r="AI19" s="15">
        <v>156</v>
      </c>
      <c r="AJ19" s="15">
        <v>206</v>
      </c>
      <c r="AK19" s="15">
        <v>9</v>
      </c>
      <c r="AL19" s="15">
        <v>72</v>
      </c>
      <c r="AM19" s="15">
        <v>81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1:53" ht="14.25" customHeight="1" x14ac:dyDescent="0.25">
      <c r="A20" s="3">
        <v>15</v>
      </c>
      <c r="B20" s="4">
        <v>35</v>
      </c>
      <c r="C20" s="5" t="s">
        <v>23</v>
      </c>
      <c r="D20" s="15">
        <v>206</v>
      </c>
      <c r="E20" s="15">
        <v>18524</v>
      </c>
      <c r="F20" s="15">
        <v>18730</v>
      </c>
      <c r="G20" s="15">
        <v>1</v>
      </c>
      <c r="H20" s="15">
        <v>14537</v>
      </c>
      <c r="I20" s="15">
        <f t="shared" si="0"/>
        <v>14538</v>
      </c>
      <c r="J20" s="15">
        <v>1</v>
      </c>
      <c r="K20" s="15">
        <v>389</v>
      </c>
      <c r="L20" s="15">
        <v>390</v>
      </c>
      <c r="M20" s="15">
        <v>0</v>
      </c>
      <c r="N20" s="15">
        <v>4027</v>
      </c>
      <c r="O20" s="15">
        <v>4027</v>
      </c>
      <c r="P20" s="15">
        <v>2</v>
      </c>
      <c r="Q20" s="15">
        <v>1893</v>
      </c>
      <c r="R20" s="15">
        <v>1895</v>
      </c>
      <c r="S20" s="15">
        <v>0</v>
      </c>
      <c r="T20" s="15">
        <v>955</v>
      </c>
      <c r="U20" s="15">
        <v>955</v>
      </c>
      <c r="V20" s="15">
        <v>19</v>
      </c>
      <c r="W20" s="15">
        <v>0</v>
      </c>
      <c r="X20" s="15">
        <v>19</v>
      </c>
      <c r="Y20" s="15">
        <v>16790</v>
      </c>
      <c r="Z20" s="15">
        <v>2133</v>
      </c>
      <c r="AA20" s="15">
        <v>18923</v>
      </c>
      <c r="AB20" s="15">
        <v>1746</v>
      </c>
      <c r="AC20" s="15">
        <v>3341</v>
      </c>
      <c r="AD20" s="15">
        <v>5087</v>
      </c>
      <c r="AE20" s="15">
        <v>429</v>
      </c>
      <c r="AF20" s="15">
        <v>1082</v>
      </c>
      <c r="AG20" s="15">
        <v>1511</v>
      </c>
      <c r="AH20" s="15">
        <v>299</v>
      </c>
      <c r="AI20" s="15">
        <v>1851</v>
      </c>
      <c r="AJ20" s="15">
        <v>2150</v>
      </c>
      <c r="AK20" s="15">
        <v>67</v>
      </c>
      <c r="AL20" s="15">
        <v>323</v>
      </c>
      <c r="AM20" s="15">
        <v>390</v>
      </c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t="14.25" customHeight="1" x14ac:dyDescent="0.25">
      <c r="A21" s="3">
        <v>16</v>
      </c>
      <c r="B21" s="4">
        <v>36</v>
      </c>
      <c r="C21" s="5" t="s">
        <v>45</v>
      </c>
      <c r="D21" s="15">
        <v>116</v>
      </c>
      <c r="E21" s="15">
        <v>2557</v>
      </c>
      <c r="F21" s="15">
        <v>2673</v>
      </c>
      <c r="G21" s="15">
        <v>0</v>
      </c>
      <c r="H21" s="15">
        <v>3292</v>
      </c>
      <c r="I21" s="15">
        <f t="shared" si="0"/>
        <v>3292</v>
      </c>
      <c r="J21" s="15">
        <v>0</v>
      </c>
      <c r="K21" s="15">
        <v>23</v>
      </c>
      <c r="L21" s="15">
        <v>23</v>
      </c>
      <c r="M21" s="15">
        <v>0</v>
      </c>
      <c r="N21" s="15">
        <v>502</v>
      </c>
      <c r="O21" s="15">
        <v>502</v>
      </c>
      <c r="P21" s="15">
        <v>0</v>
      </c>
      <c r="Q21" s="15">
        <v>436</v>
      </c>
      <c r="R21" s="15">
        <v>436</v>
      </c>
      <c r="S21" s="15">
        <v>0</v>
      </c>
      <c r="T21" s="15">
        <v>481</v>
      </c>
      <c r="U21" s="15">
        <v>481</v>
      </c>
      <c r="V21" s="15">
        <v>7</v>
      </c>
      <c r="W21" s="15">
        <v>0</v>
      </c>
      <c r="X21" s="15">
        <v>7</v>
      </c>
      <c r="Y21" s="15">
        <v>3852</v>
      </c>
      <c r="Z21" s="15">
        <v>818</v>
      </c>
      <c r="AA21" s="15">
        <v>4670</v>
      </c>
      <c r="AB21" s="15">
        <v>576</v>
      </c>
      <c r="AC21" s="15">
        <v>1053</v>
      </c>
      <c r="AD21" s="15">
        <v>1629</v>
      </c>
      <c r="AE21" s="15">
        <v>163</v>
      </c>
      <c r="AF21" s="15">
        <v>455</v>
      </c>
      <c r="AG21" s="15">
        <v>618</v>
      </c>
      <c r="AH21" s="15">
        <v>99</v>
      </c>
      <c r="AI21" s="15">
        <v>633</v>
      </c>
      <c r="AJ21" s="15">
        <v>732</v>
      </c>
      <c r="AK21" s="15">
        <v>10</v>
      </c>
      <c r="AL21" s="15">
        <v>113</v>
      </c>
      <c r="AM21" s="15">
        <v>123</v>
      </c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</row>
    <row r="22" spans="1:53" ht="14.25" customHeight="1" x14ac:dyDescent="0.25">
      <c r="A22" s="3">
        <v>17</v>
      </c>
      <c r="B22" s="4">
        <v>51</v>
      </c>
      <c r="C22" s="5" t="s">
        <v>40</v>
      </c>
      <c r="D22" s="15">
        <v>164</v>
      </c>
      <c r="E22" s="15">
        <v>1383</v>
      </c>
      <c r="F22" s="15">
        <v>1547</v>
      </c>
      <c r="G22" s="15">
        <v>2</v>
      </c>
      <c r="H22" s="15">
        <v>417</v>
      </c>
      <c r="I22" s="15">
        <f t="shared" si="0"/>
        <v>419</v>
      </c>
      <c r="J22" s="15">
        <v>1</v>
      </c>
      <c r="K22" s="15">
        <v>46</v>
      </c>
      <c r="L22" s="15">
        <v>47</v>
      </c>
      <c r="M22" s="15">
        <v>0</v>
      </c>
      <c r="N22" s="15">
        <v>16</v>
      </c>
      <c r="O22" s="15">
        <v>16</v>
      </c>
      <c r="P22" s="15">
        <v>0</v>
      </c>
      <c r="Q22" s="15">
        <v>317</v>
      </c>
      <c r="R22" s="15">
        <v>317</v>
      </c>
      <c r="S22" s="15">
        <v>0</v>
      </c>
      <c r="T22" s="15">
        <v>79</v>
      </c>
      <c r="U22" s="15">
        <v>79</v>
      </c>
      <c r="V22" s="15">
        <v>9</v>
      </c>
      <c r="W22" s="15">
        <v>0</v>
      </c>
      <c r="X22" s="15">
        <v>9</v>
      </c>
      <c r="Y22" s="15">
        <v>2250</v>
      </c>
      <c r="Z22" s="15">
        <v>160</v>
      </c>
      <c r="AA22" s="15">
        <v>2410</v>
      </c>
      <c r="AB22" s="15">
        <v>279</v>
      </c>
      <c r="AC22" s="15">
        <v>127</v>
      </c>
      <c r="AD22" s="15">
        <v>406</v>
      </c>
      <c r="AE22" s="15">
        <v>90</v>
      </c>
      <c r="AF22" s="15">
        <v>68</v>
      </c>
      <c r="AG22" s="15">
        <v>158</v>
      </c>
      <c r="AH22" s="15">
        <v>58</v>
      </c>
      <c r="AI22" s="15">
        <v>107</v>
      </c>
      <c r="AJ22" s="15">
        <v>165</v>
      </c>
      <c r="AK22" s="15">
        <v>12</v>
      </c>
      <c r="AL22" s="15">
        <v>3</v>
      </c>
      <c r="AM22" s="15">
        <v>15</v>
      </c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</row>
    <row r="23" spans="1:53" ht="14.25" customHeight="1" x14ac:dyDescent="0.25">
      <c r="A23" s="3">
        <v>18</v>
      </c>
      <c r="B23" s="4">
        <v>52</v>
      </c>
      <c r="C23" s="5" t="s">
        <v>41</v>
      </c>
      <c r="D23" s="15">
        <v>382</v>
      </c>
      <c r="E23" s="15">
        <v>1855</v>
      </c>
      <c r="F23" s="15">
        <v>2237</v>
      </c>
      <c r="G23" s="15">
        <v>0</v>
      </c>
      <c r="H23" s="15">
        <v>2594</v>
      </c>
      <c r="I23" s="15">
        <f t="shared" si="0"/>
        <v>2594</v>
      </c>
      <c r="J23" s="15">
        <v>0</v>
      </c>
      <c r="K23" s="15">
        <v>21</v>
      </c>
      <c r="L23" s="15">
        <v>21</v>
      </c>
      <c r="M23" s="15">
        <v>0</v>
      </c>
      <c r="N23" s="15">
        <v>183</v>
      </c>
      <c r="O23" s="15">
        <v>183</v>
      </c>
      <c r="P23" s="15">
        <v>1</v>
      </c>
      <c r="Q23" s="15">
        <v>368</v>
      </c>
      <c r="R23" s="15">
        <v>369</v>
      </c>
      <c r="S23" s="15">
        <v>0</v>
      </c>
      <c r="T23" s="15">
        <v>373</v>
      </c>
      <c r="U23" s="15">
        <v>373</v>
      </c>
      <c r="V23" s="15">
        <v>10</v>
      </c>
      <c r="W23" s="15">
        <v>0</v>
      </c>
      <c r="X23" s="15">
        <v>10</v>
      </c>
      <c r="Y23" s="15">
        <v>3008</v>
      </c>
      <c r="Z23" s="15">
        <v>366</v>
      </c>
      <c r="AA23" s="15">
        <v>3374</v>
      </c>
      <c r="AB23" s="15">
        <v>606</v>
      </c>
      <c r="AC23" s="15">
        <v>521</v>
      </c>
      <c r="AD23" s="15">
        <v>1127</v>
      </c>
      <c r="AE23" s="15">
        <v>150</v>
      </c>
      <c r="AF23" s="15">
        <v>239</v>
      </c>
      <c r="AG23" s="15">
        <v>389</v>
      </c>
      <c r="AH23" s="15">
        <v>100</v>
      </c>
      <c r="AI23" s="15">
        <v>237</v>
      </c>
      <c r="AJ23" s="15">
        <v>337</v>
      </c>
      <c r="AK23" s="15">
        <v>22</v>
      </c>
      <c r="AL23" s="15">
        <v>31</v>
      </c>
      <c r="AM23" s="15">
        <v>53</v>
      </c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</row>
    <row r="24" spans="1:53" ht="14.25" customHeight="1" x14ac:dyDescent="0.25">
      <c r="A24" s="3">
        <v>19</v>
      </c>
      <c r="B24" s="4">
        <v>53</v>
      </c>
      <c r="C24" s="5" t="s">
        <v>42</v>
      </c>
      <c r="D24" s="15">
        <v>384</v>
      </c>
      <c r="E24" s="15">
        <v>1237</v>
      </c>
      <c r="F24" s="15">
        <v>1621</v>
      </c>
      <c r="G24" s="15">
        <v>7</v>
      </c>
      <c r="H24" s="15">
        <v>3477</v>
      </c>
      <c r="I24" s="15">
        <f t="shared" si="0"/>
        <v>3484</v>
      </c>
      <c r="J24" s="15">
        <v>1</v>
      </c>
      <c r="K24" s="15">
        <v>19</v>
      </c>
      <c r="L24" s="15">
        <v>20</v>
      </c>
      <c r="M24" s="15">
        <v>0</v>
      </c>
      <c r="N24" s="15">
        <v>308</v>
      </c>
      <c r="O24" s="15">
        <v>308</v>
      </c>
      <c r="P24" s="15">
        <v>1</v>
      </c>
      <c r="Q24" s="15">
        <v>85</v>
      </c>
      <c r="R24" s="15">
        <v>86</v>
      </c>
      <c r="S24" s="15">
        <v>0</v>
      </c>
      <c r="T24" s="15">
        <v>228</v>
      </c>
      <c r="U24" s="15">
        <v>228</v>
      </c>
      <c r="V24" s="15">
        <v>20</v>
      </c>
      <c r="W24" s="15">
        <v>0</v>
      </c>
      <c r="X24" s="15">
        <v>20</v>
      </c>
      <c r="Y24" s="15">
        <v>3431</v>
      </c>
      <c r="Z24" s="15">
        <v>1825</v>
      </c>
      <c r="AA24" s="15">
        <v>5256</v>
      </c>
      <c r="AB24" s="15">
        <v>1413</v>
      </c>
      <c r="AC24" s="15">
        <v>468</v>
      </c>
      <c r="AD24" s="15">
        <v>1881</v>
      </c>
      <c r="AE24" s="15">
        <v>400</v>
      </c>
      <c r="AF24" s="15">
        <v>224</v>
      </c>
      <c r="AG24" s="15">
        <v>624</v>
      </c>
      <c r="AH24" s="15">
        <v>181</v>
      </c>
      <c r="AI24" s="15">
        <v>180</v>
      </c>
      <c r="AJ24" s="15">
        <v>361</v>
      </c>
      <c r="AK24" s="15">
        <v>36</v>
      </c>
      <c r="AL24" s="15">
        <v>13</v>
      </c>
      <c r="AM24" s="15">
        <v>49</v>
      </c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</row>
    <row r="25" spans="1:53" ht="14.25" customHeight="1" x14ac:dyDescent="0.25">
      <c r="A25" s="3">
        <v>20</v>
      </c>
      <c r="B25" s="4">
        <v>61</v>
      </c>
      <c r="C25" s="5" t="s">
        <v>31</v>
      </c>
      <c r="D25" s="15">
        <v>186</v>
      </c>
      <c r="E25" s="15">
        <v>942</v>
      </c>
      <c r="F25" s="15">
        <v>1128</v>
      </c>
      <c r="G25" s="15">
        <v>0</v>
      </c>
      <c r="H25" s="15">
        <v>2032</v>
      </c>
      <c r="I25" s="15">
        <f t="shared" si="0"/>
        <v>2032</v>
      </c>
      <c r="J25" s="15">
        <v>0</v>
      </c>
      <c r="K25" s="15">
        <v>25</v>
      </c>
      <c r="L25" s="15">
        <v>25</v>
      </c>
      <c r="M25" s="15">
        <v>1</v>
      </c>
      <c r="N25" s="15">
        <v>52</v>
      </c>
      <c r="O25" s="15">
        <v>53</v>
      </c>
      <c r="P25" s="15">
        <v>1</v>
      </c>
      <c r="Q25" s="15">
        <v>125</v>
      </c>
      <c r="R25" s="15">
        <v>126</v>
      </c>
      <c r="S25" s="15">
        <v>0</v>
      </c>
      <c r="T25" s="15">
        <v>198</v>
      </c>
      <c r="U25" s="15">
        <v>198</v>
      </c>
      <c r="V25" s="15">
        <v>11</v>
      </c>
      <c r="W25" s="15">
        <v>0</v>
      </c>
      <c r="X25" s="15">
        <v>11</v>
      </c>
      <c r="Y25" s="15">
        <v>4138</v>
      </c>
      <c r="Z25" s="15">
        <v>318</v>
      </c>
      <c r="AA25" s="15">
        <v>4456</v>
      </c>
      <c r="AB25" s="15">
        <v>1038</v>
      </c>
      <c r="AC25" s="15">
        <v>354</v>
      </c>
      <c r="AD25" s="15">
        <v>1392</v>
      </c>
      <c r="AE25" s="15">
        <v>291</v>
      </c>
      <c r="AF25" s="15">
        <v>186</v>
      </c>
      <c r="AG25" s="15">
        <v>477</v>
      </c>
      <c r="AH25" s="15">
        <v>120</v>
      </c>
      <c r="AI25" s="15">
        <v>113</v>
      </c>
      <c r="AJ25" s="15">
        <v>233</v>
      </c>
      <c r="AK25" s="15">
        <v>15</v>
      </c>
      <c r="AL25" s="15">
        <v>13</v>
      </c>
      <c r="AM25" s="15">
        <v>28</v>
      </c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ht="14.25" customHeight="1" x14ac:dyDescent="0.25">
      <c r="A26" s="3">
        <v>21</v>
      </c>
      <c r="B26" s="4">
        <v>62</v>
      </c>
      <c r="C26" s="5" t="s">
        <v>32</v>
      </c>
      <c r="D26" s="15">
        <v>211</v>
      </c>
      <c r="E26" s="15">
        <v>1808</v>
      </c>
      <c r="F26" s="15">
        <v>2019</v>
      </c>
      <c r="G26" s="15">
        <v>0</v>
      </c>
      <c r="H26" s="15">
        <v>657</v>
      </c>
      <c r="I26" s="15">
        <f t="shared" si="0"/>
        <v>657</v>
      </c>
      <c r="J26" s="15">
        <v>0</v>
      </c>
      <c r="K26" s="15">
        <v>38</v>
      </c>
      <c r="L26" s="15">
        <v>38</v>
      </c>
      <c r="M26" s="15">
        <v>0</v>
      </c>
      <c r="N26" s="15">
        <v>94</v>
      </c>
      <c r="O26" s="15">
        <v>94</v>
      </c>
      <c r="P26" s="15">
        <v>0</v>
      </c>
      <c r="Q26" s="15">
        <v>117</v>
      </c>
      <c r="R26" s="15">
        <v>117</v>
      </c>
      <c r="S26" s="15">
        <v>0</v>
      </c>
      <c r="T26" s="15">
        <v>127</v>
      </c>
      <c r="U26" s="15">
        <v>127</v>
      </c>
      <c r="V26" s="15">
        <v>9</v>
      </c>
      <c r="W26" s="15">
        <v>0</v>
      </c>
      <c r="X26" s="15">
        <v>9</v>
      </c>
      <c r="Y26" s="15">
        <v>2410</v>
      </c>
      <c r="Z26" s="15">
        <v>242</v>
      </c>
      <c r="AA26" s="15">
        <v>2652</v>
      </c>
      <c r="AB26" s="15">
        <v>722</v>
      </c>
      <c r="AC26" s="15">
        <v>165</v>
      </c>
      <c r="AD26" s="15">
        <v>887</v>
      </c>
      <c r="AE26" s="15">
        <v>183</v>
      </c>
      <c r="AF26" s="15">
        <v>69</v>
      </c>
      <c r="AG26" s="15">
        <v>252</v>
      </c>
      <c r="AH26" s="15">
        <v>95</v>
      </c>
      <c r="AI26" s="15">
        <v>46</v>
      </c>
      <c r="AJ26" s="15">
        <v>141</v>
      </c>
      <c r="AK26" s="15">
        <v>30</v>
      </c>
      <c r="AL26" s="15">
        <v>12</v>
      </c>
      <c r="AM26" s="15">
        <v>42</v>
      </c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</row>
    <row r="27" spans="1:53" ht="14.25" customHeight="1" x14ac:dyDescent="0.25">
      <c r="A27" s="3">
        <v>22</v>
      </c>
      <c r="B27" s="4">
        <v>63</v>
      </c>
      <c r="C27" s="5" t="s">
        <v>33</v>
      </c>
      <c r="D27" s="15">
        <v>376</v>
      </c>
      <c r="E27" s="15">
        <v>2176</v>
      </c>
      <c r="F27" s="15">
        <v>2552</v>
      </c>
      <c r="G27" s="15">
        <v>16</v>
      </c>
      <c r="H27" s="15">
        <v>1372</v>
      </c>
      <c r="I27" s="15">
        <f t="shared" si="0"/>
        <v>1388</v>
      </c>
      <c r="J27" s="15">
        <v>1</v>
      </c>
      <c r="K27" s="15">
        <v>153</v>
      </c>
      <c r="L27" s="15">
        <v>154</v>
      </c>
      <c r="M27" s="15">
        <v>0</v>
      </c>
      <c r="N27" s="15">
        <v>47</v>
      </c>
      <c r="O27" s="15">
        <v>47</v>
      </c>
      <c r="P27" s="15">
        <v>0</v>
      </c>
      <c r="Q27" s="15">
        <v>264</v>
      </c>
      <c r="R27" s="15">
        <v>264</v>
      </c>
      <c r="S27" s="15">
        <v>0</v>
      </c>
      <c r="T27" s="15">
        <v>179</v>
      </c>
      <c r="U27" s="15">
        <v>179</v>
      </c>
      <c r="V27" s="15">
        <v>13</v>
      </c>
      <c r="W27" s="15">
        <v>0</v>
      </c>
      <c r="X27" s="15">
        <v>13</v>
      </c>
      <c r="Y27" s="15">
        <v>2739</v>
      </c>
      <c r="Z27" s="15">
        <v>193</v>
      </c>
      <c r="AA27" s="15">
        <v>2932</v>
      </c>
      <c r="AB27" s="15">
        <v>527</v>
      </c>
      <c r="AC27" s="15">
        <v>119</v>
      </c>
      <c r="AD27" s="15">
        <v>646</v>
      </c>
      <c r="AE27" s="15">
        <v>144</v>
      </c>
      <c r="AF27" s="15">
        <v>68</v>
      </c>
      <c r="AG27" s="15">
        <v>212</v>
      </c>
      <c r="AH27" s="15">
        <v>65</v>
      </c>
      <c r="AI27" s="15">
        <v>63</v>
      </c>
      <c r="AJ27" s="15">
        <v>128</v>
      </c>
      <c r="AK27" s="15">
        <v>22</v>
      </c>
      <c r="AL27" s="15">
        <v>4</v>
      </c>
      <c r="AM27" s="15">
        <v>26</v>
      </c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</row>
    <row r="28" spans="1:53" ht="14.25" customHeight="1" x14ac:dyDescent="0.25">
      <c r="A28" s="3">
        <v>23</v>
      </c>
      <c r="B28" s="4">
        <v>64</v>
      </c>
      <c r="C28" s="5" t="s">
        <v>34</v>
      </c>
      <c r="D28" s="15">
        <v>128</v>
      </c>
      <c r="E28" s="15">
        <v>1354</v>
      </c>
      <c r="F28" s="15">
        <v>1482</v>
      </c>
      <c r="G28" s="15">
        <v>0</v>
      </c>
      <c r="H28" s="15">
        <v>999</v>
      </c>
      <c r="I28" s="15">
        <f t="shared" si="0"/>
        <v>999</v>
      </c>
      <c r="J28" s="15">
        <v>0</v>
      </c>
      <c r="K28" s="15">
        <v>74</v>
      </c>
      <c r="L28" s="15">
        <v>74</v>
      </c>
      <c r="M28" s="15">
        <v>0</v>
      </c>
      <c r="N28" s="15">
        <v>119</v>
      </c>
      <c r="O28" s="15">
        <v>119</v>
      </c>
      <c r="P28" s="15">
        <v>0</v>
      </c>
      <c r="Q28" s="15">
        <v>156</v>
      </c>
      <c r="R28" s="15">
        <v>156</v>
      </c>
      <c r="S28" s="15">
        <v>0</v>
      </c>
      <c r="T28" s="15">
        <v>126</v>
      </c>
      <c r="U28" s="15">
        <v>126</v>
      </c>
      <c r="V28" s="15">
        <v>24</v>
      </c>
      <c r="W28" s="15">
        <v>0</v>
      </c>
      <c r="X28" s="15">
        <v>24</v>
      </c>
      <c r="Y28" s="15">
        <v>1668</v>
      </c>
      <c r="Z28" s="15">
        <v>287</v>
      </c>
      <c r="AA28" s="15">
        <v>1955</v>
      </c>
      <c r="AB28" s="15">
        <v>464</v>
      </c>
      <c r="AC28" s="15">
        <v>255</v>
      </c>
      <c r="AD28" s="15">
        <v>719</v>
      </c>
      <c r="AE28" s="15">
        <v>148</v>
      </c>
      <c r="AF28" s="15">
        <v>92</v>
      </c>
      <c r="AG28" s="15">
        <v>240</v>
      </c>
      <c r="AH28" s="15">
        <v>89</v>
      </c>
      <c r="AI28" s="15">
        <v>123</v>
      </c>
      <c r="AJ28" s="15">
        <v>212</v>
      </c>
      <c r="AK28" s="15">
        <v>11</v>
      </c>
      <c r="AL28" s="15">
        <v>24</v>
      </c>
      <c r="AM28" s="15">
        <v>35</v>
      </c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</row>
    <row r="29" spans="1:53" ht="14.25" customHeight="1" x14ac:dyDescent="0.25">
      <c r="A29" s="3">
        <v>24</v>
      </c>
      <c r="B29" s="4">
        <v>65</v>
      </c>
      <c r="C29" s="5" t="s">
        <v>50</v>
      </c>
      <c r="D29" s="15">
        <v>35</v>
      </c>
      <c r="E29" s="15">
        <v>160</v>
      </c>
      <c r="F29" s="15">
        <v>195</v>
      </c>
      <c r="G29" s="15">
        <v>0</v>
      </c>
      <c r="H29" s="15">
        <v>404</v>
      </c>
      <c r="I29" s="15">
        <f t="shared" si="0"/>
        <v>404</v>
      </c>
      <c r="J29" s="15">
        <v>0</v>
      </c>
      <c r="K29" s="15">
        <v>16</v>
      </c>
      <c r="L29" s="15">
        <v>16</v>
      </c>
      <c r="M29" s="15">
        <v>0</v>
      </c>
      <c r="N29" s="15">
        <v>8</v>
      </c>
      <c r="O29" s="15">
        <v>8</v>
      </c>
      <c r="P29" s="15">
        <v>0</v>
      </c>
      <c r="Q29" s="15">
        <v>29</v>
      </c>
      <c r="R29" s="15">
        <v>29</v>
      </c>
      <c r="S29" s="15">
        <v>0</v>
      </c>
      <c r="T29" s="15">
        <v>48</v>
      </c>
      <c r="U29" s="15">
        <v>48</v>
      </c>
      <c r="V29" s="15">
        <v>4</v>
      </c>
      <c r="W29" s="15">
        <v>0</v>
      </c>
      <c r="X29" s="15">
        <v>4</v>
      </c>
      <c r="Y29" s="15">
        <v>437</v>
      </c>
      <c r="Z29" s="15">
        <v>53</v>
      </c>
      <c r="AA29" s="15">
        <v>490</v>
      </c>
      <c r="AB29" s="15">
        <v>157</v>
      </c>
      <c r="AC29" s="15">
        <v>43</v>
      </c>
      <c r="AD29" s="15">
        <v>200</v>
      </c>
      <c r="AE29" s="15">
        <v>49</v>
      </c>
      <c r="AF29" s="15">
        <v>24</v>
      </c>
      <c r="AG29" s="15">
        <v>73</v>
      </c>
      <c r="AH29" s="15">
        <v>22</v>
      </c>
      <c r="AI29" s="15">
        <v>12</v>
      </c>
      <c r="AJ29" s="15">
        <v>34</v>
      </c>
      <c r="AK29" s="15">
        <v>6</v>
      </c>
      <c r="AL29" s="15">
        <v>1</v>
      </c>
      <c r="AM29" s="15">
        <v>7</v>
      </c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</row>
    <row r="30" spans="1:53" ht="14.25" customHeight="1" x14ac:dyDescent="0.25">
      <c r="A30" s="3">
        <v>25</v>
      </c>
      <c r="B30" s="4">
        <v>71</v>
      </c>
      <c r="C30" s="5" t="s">
        <v>35</v>
      </c>
      <c r="D30" s="15">
        <v>180</v>
      </c>
      <c r="E30" s="15">
        <v>1520</v>
      </c>
      <c r="F30" s="15">
        <v>1700</v>
      </c>
      <c r="G30" s="15">
        <v>2</v>
      </c>
      <c r="H30" s="15">
        <v>775</v>
      </c>
      <c r="I30" s="15">
        <f t="shared" si="0"/>
        <v>777</v>
      </c>
      <c r="J30" s="15">
        <v>0</v>
      </c>
      <c r="K30" s="15">
        <v>10</v>
      </c>
      <c r="L30" s="15">
        <v>10</v>
      </c>
      <c r="M30" s="15">
        <v>1</v>
      </c>
      <c r="N30" s="15">
        <v>57</v>
      </c>
      <c r="O30" s="15">
        <v>58</v>
      </c>
      <c r="P30" s="15">
        <v>0</v>
      </c>
      <c r="Q30" s="15">
        <v>93</v>
      </c>
      <c r="R30" s="15">
        <v>93</v>
      </c>
      <c r="S30" s="15">
        <v>0</v>
      </c>
      <c r="T30" s="15">
        <v>123</v>
      </c>
      <c r="U30" s="15">
        <v>123</v>
      </c>
      <c r="V30" s="15">
        <v>29</v>
      </c>
      <c r="W30" s="15">
        <v>0</v>
      </c>
      <c r="X30" s="15">
        <v>29</v>
      </c>
      <c r="Y30" s="15">
        <v>1350</v>
      </c>
      <c r="Z30" s="15">
        <v>861</v>
      </c>
      <c r="AA30" s="15">
        <v>2211</v>
      </c>
      <c r="AB30" s="15">
        <v>480</v>
      </c>
      <c r="AC30" s="15">
        <v>255</v>
      </c>
      <c r="AD30" s="15">
        <v>735</v>
      </c>
      <c r="AE30" s="15">
        <v>122</v>
      </c>
      <c r="AF30" s="15">
        <v>105</v>
      </c>
      <c r="AG30" s="15">
        <v>227</v>
      </c>
      <c r="AH30" s="15">
        <v>94</v>
      </c>
      <c r="AI30" s="15">
        <v>97</v>
      </c>
      <c r="AJ30" s="15">
        <v>191</v>
      </c>
      <c r="AK30" s="15">
        <v>6</v>
      </c>
      <c r="AL30" s="15">
        <v>36</v>
      </c>
      <c r="AM30" s="15">
        <v>42</v>
      </c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</row>
    <row r="31" spans="1:53" ht="14.25" customHeight="1" x14ac:dyDescent="0.25">
      <c r="A31" s="3">
        <v>26</v>
      </c>
      <c r="B31" s="4">
        <v>72</v>
      </c>
      <c r="C31" s="5" t="s">
        <v>36</v>
      </c>
      <c r="D31" s="15">
        <v>331</v>
      </c>
      <c r="E31" s="15">
        <v>1737</v>
      </c>
      <c r="F31" s="15">
        <v>2068</v>
      </c>
      <c r="G31" s="15">
        <v>0</v>
      </c>
      <c r="H31" s="15">
        <v>1137</v>
      </c>
      <c r="I31" s="15">
        <f t="shared" si="0"/>
        <v>1137</v>
      </c>
      <c r="J31" s="15">
        <v>0</v>
      </c>
      <c r="K31" s="15">
        <v>7</v>
      </c>
      <c r="L31" s="15">
        <v>7</v>
      </c>
      <c r="M31" s="15">
        <v>0</v>
      </c>
      <c r="N31" s="15">
        <v>34</v>
      </c>
      <c r="O31" s="15">
        <v>34</v>
      </c>
      <c r="P31" s="15">
        <v>0</v>
      </c>
      <c r="Q31" s="15">
        <v>215</v>
      </c>
      <c r="R31" s="15">
        <v>215</v>
      </c>
      <c r="S31" s="15">
        <v>0</v>
      </c>
      <c r="T31" s="15">
        <v>199</v>
      </c>
      <c r="U31" s="15">
        <v>199</v>
      </c>
      <c r="V31" s="15">
        <v>15</v>
      </c>
      <c r="W31" s="15">
        <v>0</v>
      </c>
      <c r="X31" s="15">
        <v>15</v>
      </c>
      <c r="Y31" s="15">
        <v>2675</v>
      </c>
      <c r="Z31" s="15">
        <v>276</v>
      </c>
      <c r="AA31" s="15">
        <v>2951</v>
      </c>
      <c r="AB31" s="15">
        <v>741</v>
      </c>
      <c r="AC31" s="15">
        <v>148</v>
      </c>
      <c r="AD31" s="15">
        <v>889</v>
      </c>
      <c r="AE31" s="15">
        <v>178</v>
      </c>
      <c r="AF31" s="15">
        <v>61</v>
      </c>
      <c r="AG31" s="15">
        <v>239</v>
      </c>
      <c r="AH31" s="15">
        <v>107</v>
      </c>
      <c r="AI31" s="15">
        <v>78</v>
      </c>
      <c r="AJ31" s="15">
        <v>185</v>
      </c>
      <c r="AK31" s="15">
        <v>16</v>
      </c>
      <c r="AL31" s="15">
        <v>17</v>
      </c>
      <c r="AM31" s="15">
        <v>33</v>
      </c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</row>
    <row r="32" spans="1:53" ht="14.25" customHeight="1" x14ac:dyDescent="0.25">
      <c r="A32" s="3">
        <v>27</v>
      </c>
      <c r="B32" s="4">
        <v>73</v>
      </c>
      <c r="C32" s="5" t="s">
        <v>37</v>
      </c>
      <c r="D32" s="15">
        <v>456</v>
      </c>
      <c r="E32" s="15">
        <v>4164</v>
      </c>
      <c r="F32" s="15">
        <v>4620</v>
      </c>
      <c r="G32" s="15">
        <v>0</v>
      </c>
      <c r="H32" s="15">
        <v>1585</v>
      </c>
      <c r="I32" s="15">
        <f t="shared" si="0"/>
        <v>1585</v>
      </c>
      <c r="J32" s="15">
        <v>0</v>
      </c>
      <c r="K32" s="15">
        <v>37</v>
      </c>
      <c r="L32" s="15">
        <v>37</v>
      </c>
      <c r="M32" s="15">
        <v>0</v>
      </c>
      <c r="N32" s="15">
        <v>176</v>
      </c>
      <c r="O32" s="15">
        <v>176</v>
      </c>
      <c r="P32" s="15">
        <v>1</v>
      </c>
      <c r="Q32" s="15">
        <v>473</v>
      </c>
      <c r="R32" s="15">
        <v>474</v>
      </c>
      <c r="S32" s="15">
        <v>0</v>
      </c>
      <c r="T32" s="15">
        <v>379</v>
      </c>
      <c r="U32" s="15">
        <v>379</v>
      </c>
      <c r="V32" s="15">
        <v>25</v>
      </c>
      <c r="W32" s="15">
        <v>0</v>
      </c>
      <c r="X32" s="15">
        <v>25</v>
      </c>
      <c r="Y32" s="15">
        <v>6067</v>
      </c>
      <c r="Z32" s="15">
        <v>401</v>
      </c>
      <c r="AA32" s="15">
        <v>6468</v>
      </c>
      <c r="AB32" s="15">
        <v>1276</v>
      </c>
      <c r="AC32" s="15">
        <v>486</v>
      </c>
      <c r="AD32" s="15">
        <v>1762</v>
      </c>
      <c r="AE32" s="15">
        <v>340</v>
      </c>
      <c r="AF32" s="15">
        <v>277</v>
      </c>
      <c r="AG32" s="15">
        <v>617</v>
      </c>
      <c r="AH32" s="15">
        <v>168</v>
      </c>
      <c r="AI32" s="15">
        <v>227</v>
      </c>
      <c r="AJ32" s="15">
        <v>395</v>
      </c>
      <c r="AK32" s="15">
        <v>23</v>
      </c>
      <c r="AL32" s="15">
        <v>76</v>
      </c>
      <c r="AM32" s="15">
        <v>99</v>
      </c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</row>
    <row r="33" spans="1:53" ht="14.25" customHeight="1" x14ac:dyDescent="0.25">
      <c r="A33" s="3">
        <v>28</v>
      </c>
      <c r="B33" s="4">
        <v>74</v>
      </c>
      <c r="C33" s="5" t="s">
        <v>38</v>
      </c>
      <c r="D33" s="15">
        <v>416</v>
      </c>
      <c r="E33" s="15">
        <v>1600</v>
      </c>
      <c r="F33" s="15">
        <v>2016</v>
      </c>
      <c r="G33" s="15">
        <v>1</v>
      </c>
      <c r="H33" s="15">
        <v>431</v>
      </c>
      <c r="I33" s="15">
        <f t="shared" si="0"/>
        <v>432</v>
      </c>
      <c r="J33" s="15">
        <v>0</v>
      </c>
      <c r="K33" s="15">
        <v>4</v>
      </c>
      <c r="L33" s="15">
        <v>4</v>
      </c>
      <c r="M33" s="15">
        <v>0</v>
      </c>
      <c r="N33" s="15">
        <v>7</v>
      </c>
      <c r="O33" s="15">
        <v>7</v>
      </c>
      <c r="P33" s="15">
        <v>0</v>
      </c>
      <c r="Q33" s="15">
        <v>168</v>
      </c>
      <c r="R33" s="15">
        <v>168</v>
      </c>
      <c r="S33" s="15">
        <v>0</v>
      </c>
      <c r="T33" s="15">
        <v>328</v>
      </c>
      <c r="U33" s="15">
        <v>328</v>
      </c>
      <c r="V33" s="15">
        <v>20</v>
      </c>
      <c r="W33" s="15">
        <v>0</v>
      </c>
      <c r="X33" s="15">
        <v>20</v>
      </c>
      <c r="Y33" s="15">
        <v>2266</v>
      </c>
      <c r="Z33" s="15">
        <v>91</v>
      </c>
      <c r="AA33" s="15">
        <v>2357</v>
      </c>
      <c r="AB33" s="15">
        <v>701</v>
      </c>
      <c r="AC33" s="15">
        <v>101</v>
      </c>
      <c r="AD33" s="15">
        <v>802</v>
      </c>
      <c r="AE33" s="15">
        <v>255</v>
      </c>
      <c r="AF33" s="15">
        <v>63</v>
      </c>
      <c r="AG33" s="15">
        <v>318</v>
      </c>
      <c r="AH33" s="15">
        <v>103</v>
      </c>
      <c r="AI33" s="15">
        <v>61</v>
      </c>
      <c r="AJ33" s="15">
        <v>164</v>
      </c>
      <c r="AK33" s="15">
        <v>17</v>
      </c>
      <c r="AL33" s="15">
        <v>66</v>
      </c>
      <c r="AM33" s="15">
        <v>83</v>
      </c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</row>
    <row r="34" spans="1:53" ht="14.25" customHeight="1" x14ac:dyDescent="0.25">
      <c r="A34" s="3">
        <v>29</v>
      </c>
      <c r="B34" s="4">
        <v>75</v>
      </c>
      <c r="C34" s="5" t="s">
        <v>47</v>
      </c>
      <c r="D34" s="15">
        <v>392</v>
      </c>
      <c r="E34" s="15">
        <v>447</v>
      </c>
      <c r="F34" s="15">
        <v>839</v>
      </c>
      <c r="G34" s="15">
        <v>0</v>
      </c>
      <c r="H34" s="15">
        <v>573</v>
      </c>
      <c r="I34" s="15">
        <f t="shared" si="0"/>
        <v>573</v>
      </c>
      <c r="J34" s="15">
        <v>0</v>
      </c>
      <c r="K34" s="15">
        <v>7</v>
      </c>
      <c r="L34" s="15">
        <v>7</v>
      </c>
      <c r="M34" s="15">
        <v>0</v>
      </c>
      <c r="N34" s="15">
        <v>45</v>
      </c>
      <c r="O34" s="15">
        <v>45</v>
      </c>
      <c r="P34" s="15">
        <v>0</v>
      </c>
      <c r="Q34" s="15">
        <v>82</v>
      </c>
      <c r="R34" s="15">
        <v>82</v>
      </c>
      <c r="S34" s="15">
        <v>0</v>
      </c>
      <c r="T34" s="15">
        <v>66</v>
      </c>
      <c r="U34" s="15">
        <v>66</v>
      </c>
      <c r="V34" s="15">
        <v>12</v>
      </c>
      <c r="W34" s="15">
        <v>0</v>
      </c>
      <c r="X34" s="15">
        <v>12</v>
      </c>
      <c r="Y34" s="15">
        <v>896</v>
      </c>
      <c r="Z34" s="15">
        <v>36</v>
      </c>
      <c r="AA34" s="15">
        <v>932</v>
      </c>
      <c r="AB34" s="15">
        <v>314</v>
      </c>
      <c r="AC34" s="15">
        <v>33</v>
      </c>
      <c r="AD34" s="15">
        <v>347</v>
      </c>
      <c r="AE34" s="15">
        <v>62</v>
      </c>
      <c r="AF34" s="15">
        <v>9</v>
      </c>
      <c r="AG34" s="15">
        <v>71</v>
      </c>
      <c r="AH34" s="15">
        <v>40</v>
      </c>
      <c r="AI34" s="15">
        <v>20</v>
      </c>
      <c r="AJ34" s="15">
        <v>60</v>
      </c>
      <c r="AK34" s="15">
        <v>8</v>
      </c>
      <c r="AL34" s="15">
        <v>0</v>
      </c>
      <c r="AM34" s="15">
        <v>8</v>
      </c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</row>
    <row r="35" spans="1:53" ht="14.25" customHeight="1" x14ac:dyDescent="0.25">
      <c r="A35" s="3">
        <v>30</v>
      </c>
      <c r="B35" s="4">
        <v>76</v>
      </c>
      <c r="C35" s="5" t="s">
        <v>49</v>
      </c>
      <c r="D35" s="15">
        <v>158</v>
      </c>
      <c r="E35" s="15">
        <v>565</v>
      </c>
      <c r="F35" s="15">
        <v>723</v>
      </c>
      <c r="G35" s="15">
        <v>1</v>
      </c>
      <c r="H35" s="15">
        <v>714</v>
      </c>
      <c r="I35" s="15">
        <f t="shared" si="0"/>
        <v>715</v>
      </c>
      <c r="J35" s="15">
        <v>0</v>
      </c>
      <c r="K35" s="15">
        <v>12</v>
      </c>
      <c r="L35" s="15">
        <v>12</v>
      </c>
      <c r="M35" s="15">
        <v>0</v>
      </c>
      <c r="N35" s="15">
        <v>9</v>
      </c>
      <c r="O35" s="15">
        <v>9</v>
      </c>
      <c r="P35" s="15">
        <v>1</v>
      </c>
      <c r="Q35" s="15">
        <v>87</v>
      </c>
      <c r="R35" s="15">
        <v>88</v>
      </c>
      <c r="S35" s="15">
        <v>0</v>
      </c>
      <c r="T35" s="15">
        <v>148</v>
      </c>
      <c r="U35" s="15">
        <v>148</v>
      </c>
      <c r="V35" s="15">
        <v>6</v>
      </c>
      <c r="W35" s="15">
        <v>0</v>
      </c>
      <c r="X35" s="15">
        <v>6</v>
      </c>
      <c r="Y35" s="15">
        <v>1297</v>
      </c>
      <c r="Z35" s="15">
        <v>33</v>
      </c>
      <c r="AA35" s="15">
        <v>1330</v>
      </c>
      <c r="AB35" s="15">
        <v>321</v>
      </c>
      <c r="AC35" s="15">
        <v>63</v>
      </c>
      <c r="AD35" s="15">
        <v>384</v>
      </c>
      <c r="AE35" s="15">
        <v>80</v>
      </c>
      <c r="AF35" s="15">
        <v>15</v>
      </c>
      <c r="AG35" s="15">
        <v>95</v>
      </c>
      <c r="AH35" s="15">
        <v>60</v>
      </c>
      <c r="AI35" s="15">
        <v>64</v>
      </c>
      <c r="AJ35" s="15">
        <v>124</v>
      </c>
      <c r="AK35" s="15">
        <v>13</v>
      </c>
      <c r="AL35" s="15">
        <v>12</v>
      </c>
      <c r="AM35" s="15">
        <v>25</v>
      </c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</row>
    <row r="36" spans="1:53" ht="14.25" customHeight="1" x14ac:dyDescent="0.25">
      <c r="A36" s="3">
        <v>31</v>
      </c>
      <c r="B36" s="4">
        <v>81</v>
      </c>
      <c r="C36" s="5" t="s">
        <v>39</v>
      </c>
      <c r="D36" s="15">
        <v>254</v>
      </c>
      <c r="E36" s="15">
        <v>724</v>
      </c>
      <c r="F36" s="15">
        <v>978</v>
      </c>
      <c r="G36" s="15">
        <v>3</v>
      </c>
      <c r="H36" s="15">
        <v>809</v>
      </c>
      <c r="I36" s="15">
        <f t="shared" si="0"/>
        <v>812</v>
      </c>
      <c r="J36" s="15">
        <v>0</v>
      </c>
      <c r="K36" s="15">
        <v>0</v>
      </c>
      <c r="L36" s="15">
        <v>0</v>
      </c>
      <c r="M36" s="15">
        <v>0</v>
      </c>
      <c r="N36" s="15">
        <v>62</v>
      </c>
      <c r="O36" s="15">
        <v>62</v>
      </c>
      <c r="P36" s="15">
        <v>0</v>
      </c>
      <c r="Q36" s="15">
        <v>54</v>
      </c>
      <c r="R36" s="15">
        <v>54</v>
      </c>
      <c r="S36" s="15">
        <v>0</v>
      </c>
      <c r="T36" s="15">
        <v>105</v>
      </c>
      <c r="U36" s="15">
        <v>105</v>
      </c>
      <c r="V36" s="15">
        <v>8</v>
      </c>
      <c r="W36" s="15">
        <v>0</v>
      </c>
      <c r="X36" s="15">
        <v>8</v>
      </c>
      <c r="Y36" s="15">
        <v>1311</v>
      </c>
      <c r="Z36" s="15">
        <v>533</v>
      </c>
      <c r="AA36" s="15">
        <v>1844</v>
      </c>
      <c r="AB36" s="15">
        <v>576</v>
      </c>
      <c r="AC36" s="15">
        <v>142</v>
      </c>
      <c r="AD36" s="15">
        <v>718</v>
      </c>
      <c r="AE36" s="15">
        <v>218</v>
      </c>
      <c r="AF36" s="15">
        <v>77</v>
      </c>
      <c r="AG36" s="15">
        <v>295</v>
      </c>
      <c r="AH36" s="15">
        <v>84</v>
      </c>
      <c r="AI36" s="15">
        <v>39</v>
      </c>
      <c r="AJ36" s="15">
        <v>123</v>
      </c>
      <c r="AK36" s="15">
        <v>11</v>
      </c>
      <c r="AL36" s="15">
        <v>5</v>
      </c>
      <c r="AM36" s="15">
        <v>16</v>
      </c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</row>
    <row r="37" spans="1:53" ht="14.25" customHeight="1" x14ac:dyDescent="0.25">
      <c r="A37" s="3">
        <v>32</v>
      </c>
      <c r="B37" s="4">
        <v>82</v>
      </c>
      <c r="C37" s="5" t="s">
        <v>44</v>
      </c>
      <c r="D37" s="15">
        <v>174</v>
      </c>
      <c r="E37" s="15">
        <v>496</v>
      </c>
      <c r="F37" s="15">
        <v>670</v>
      </c>
      <c r="G37" s="15">
        <v>33</v>
      </c>
      <c r="H37" s="15">
        <v>675</v>
      </c>
      <c r="I37" s="15">
        <f t="shared" si="0"/>
        <v>708</v>
      </c>
      <c r="J37" s="15">
        <v>0</v>
      </c>
      <c r="K37" s="15">
        <v>0</v>
      </c>
      <c r="L37" s="15">
        <v>0</v>
      </c>
      <c r="M37" s="15">
        <v>0</v>
      </c>
      <c r="N37" s="15">
        <v>38</v>
      </c>
      <c r="O37" s="15">
        <v>38</v>
      </c>
      <c r="P37" s="15">
        <v>0</v>
      </c>
      <c r="Q37" s="15">
        <v>51</v>
      </c>
      <c r="R37" s="15">
        <v>51</v>
      </c>
      <c r="S37" s="15">
        <v>0</v>
      </c>
      <c r="T37" s="15">
        <v>169</v>
      </c>
      <c r="U37" s="15">
        <v>169</v>
      </c>
      <c r="V37" s="15">
        <v>8</v>
      </c>
      <c r="W37" s="15">
        <v>0</v>
      </c>
      <c r="X37" s="15">
        <v>8</v>
      </c>
      <c r="Y37" s="15">
        <v>1133</v>
      </c>
      <c r="Z37" s="15">
        <v>199</v>
      </c>
      <c r="AA37" s="15">
        <v>1332</v>
      </c>
      <c r="AB37" s="15">
        <v>384</v>
      </c>
      <c r="AC37" s="15">
        <v>146</v>
      </c>
      <c r="AD37" s="15">
        <v>530</v>
      </c>
      <c r="AE37" s="15">
        <v>140</v>
      </c>
      <c r="AF37" s="15">
        <v>79</v>
      </c>
      <c r="AG37" s="15">
        <v>219</v>
      </c>
      <c r="AH37" s="15">
        <v>63</v>
      </c>
      <c r="AI37" s="15">
        <v>86</v>
      </c>
      <c r="AJ37" s="15">
        <v>149</v>
      </c>
      <c r="AK37" s="15">
        <v>17</v>
      </c>
      <c r="AL37" s="15">
        <v>12</v>
      </c>
      <c r="AM37" s="15">
        <v>29</v>
      </c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</row>
    <row r="38" spans="1:53" ht="14.25" customHeight="1" x14ac:dyDescent="0.25">
      <c r="A38" s="3">
        <v>33</v>
      </c>
      <c r="B38" s="4">
        <v>91</v>
      </c>
      <c r="C38" s="5" t="s">
        <v>51</v>
      </c>
      <c r="D38" s="15">
        <v>41</v>
      </c>
      <c r="E38" s="15">
        <v>246</v>
      </c>
      <c r="F38" s="15">
        <v>287</v>
      </c>
      <c r="G38" s="15">
        <v>11</v>
      </c>
      <c r="H38" s="15">
        <v>253</v>
      </c>
      <c r="I38" s="15">
        <f t="shared" si="0"/>
        <v>264</v>
      </c>
      <c r="J38" s="15">
        <v>0</v>
      </c>
      <c r="K38" s="15">
        <v>3</v>
      </c>
      <c r="L38" s="15">
        <v>3</v>
      </c>
      <c r="M38" s="15">
        <v>3</v>
      </c>
      <c r="N38" s="15">
        <v>86</v>
      </c>
      <c r="O38" s="15">
        <v>89</v>
      </c>
      <c r="P38" s="15">
        <v>0</v>
      </c>
      <c r="Q38" s="15">
        <v>28</v>
      </c>
      <c r="R38" s="15">
        <v>28</v>
      </c>
      <c r="S38" s="15">
        <v>0</v>
      </c>
      <c r="T38" s="15">
        <v>110</v>
      </c>
      <c r="U38" s="15">
        <v>110</v>
      </c>
      <c r="V38" s="15">
        <v>6</v>
      </c>
      <c r="W38" s="15">
        <v>0</v>
      </c>
      <c r="X38" s="15">
        <v>6</v>
      </c>
      <c r="Y38" s="15">
        <v>500</v>
      </c>
      <c r="Z38" s="15">
        <v>353</v>
      </c>
      <c r="AA38" s="15">
        <v>853</v>
      </c>
      <c r="AB38" s="15">
        <v>195</v>
      </c>
      <c r="AC38" s="15">
        <v>88</v>
      </c>
      <c r="AD38" s="15">
        <v>283</v>
      </c>
      <c r="AE38" s="15">
        <v>65</v>
      </c>
      <c r="AF38" s="15">
        <v>54</v>
      </c>
      <c r="AG38" s="15">
        <v>119</v>
      </c>
      <c r="AH38" s="15">
        <v>35</v>
      </c>
      <c r="AI38" s="15">
        <v>14</v>
      </c>
      <c r="AJ38" s="15">
        <v>49</v>
      </c>
      <c r="AK38" s="15">
        <v>5</v>
      </c>
      <c r="AL38" s="15">
        <v>2</v>
      </c>
      <c r="AM38" s="15">
        <v>7</v>
      </c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</row>
    <row r="39" spans="1:53" ht="14.25" customHeight="1" x14ac:dyDescent="0.25">
      <c r="A39" s="3">
        <v>34</v>
      </c>
      <c r="B39" s="4">
        <v>92</v>
      </c>
      <c r="C39" s="5" t="s">
        <v>52</v>
      </c>
      <c r="D39" s="15">
        <v>61</v>
      </c>
      <c r="E39" s="15">
        <v>228</v>
      </c>
      <c r="F39" s="15">
        <v>289</v>
      </c>
      <c r="G39" s="15">
        <v>18</v>
      </c>
      <c r="H39" s="15">
        <v>200</v>
      </c>
      <c r="I39" s="15">
        <f t="shared" si="0"/>
        <v>218</v>
      </c>
      <c r="J39" s="15">
        <v>0</v>
      </c>
      <c r="K39" s="15">
        <v>5</v>
      </c>
      <c r="L39" s="15">
        <v>5</v>
      </c>
      <c r="M39" s="15">
        <v>0</v>
      </c>
      <c r="N39" s="15">
        <v>2</v>
      </c>
      <c r="O39" s="15">
        <v>2</v>
      </c>
      <c r="P39" s="15">
        <v>0</v>
      </c>
      <c r="Q39" s="15">
        <v>5</v>
      </c>
      <c r="R39" s="15">
        <v>5</v>
      </c>
      <c r="S39" s="15">
        <v>1</v>
      </c>
      <c r="T39" s="15">
        <v>37</v>
      </c>
      <c r="U39" s="15">
        <v>38</v>
      </c>
      <c r="V39" s="15">
        <v>4</v>
      </c>
      <c r="W39" s="15">
        <v>0</v>
      </c>
      <c r="X39" s="15">
        <v>4</v>
      </c>
      <c r="Y39" s="15">
        <v>407</v>
      </c>
      <c r="Z39" s="15">
        <v>177</v>
      </c>
      <c r="AA39" s="15">
        <v>584</v>
      </c>
      <c r="AB39" s="15">
        <v>126</v>
      </c>
      <c r="AC39" s="15">
        <v>41</v>
      </c>
      <c r="AD39" s="15">
        <v>167</v>
      </c>
      <c r="AE39" s="15">
        <v>48</v>
      </c>
      <c r="AF39" s="15">
        <v>23</v>
      </c>
      <c r="AG39" s="15">
        <v>71</v>
      </c>
      <c r="AH39" s="15">
        <v>16</v>
      </c>
      <c r="AI39" s="15">
        <v>5</v>
      </c>
      <c r="AJ39" s="15">
        <v>21</v>
      </c>
      <c r="AK39" s="15">
        <v>1</v>
      </c>
      <c r="AL39" s="15">
        <v>0</v>
      </c>
      <c r="AM39" s="15">
        <v>1</v>
      </c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</row>
    <row r="40" spans="1:53" ht="14.25" customHeight="1" x14ac:dyDescent="0.25">
      <c r="A40" s="3">
        <v>35</v>
      </c>
      <c r="B40" s="4">
        <v>93</v>
      </c>
      <c r="C40" s="5" t="s">
        <v>55</v>
      </c>
      <c r="D40" s="15">
        <v>58</v>
      </c>
      <c r="E40" s="15">
        <v>118</v>
      </c>
      <c r="F40" s="15">
        <v>176</v>
      </c>
      <c r="G40" s="15">
        <v>36</v>
      </c>
      <c r="H40" s="15">
        <v>55</v>
      </c>
      <c r="I40" s="15">
        <f t="shared" si="0"/>
        <v>91</v>
      </c>
      <c r="J40" s="15">
        <v>0</v>
      </c>
      <c r="K40" s="15">
        <v>0</v>
      </c>
      <c r="L40" s="15">
        <v>0</v>
      </c>
      <c r="M40" s="15">
        <v>2</v>
      </c>
      <c r="N40" s="15">
        <v>8</v>
      </c>
      <c r="O40" s="15">
        <v>10</v>
      </c>
      <c r="P40" s="15">
        <v>0</v>
      </c>
      <c r="Q40" s="15">
        <v>4</v>
      </c>
      <c r="R40" s="15">
        <v>4</v>
      </c>
      <c r="S40" s="15">
        <v>18</v>
      </c>
      <c r="T40" s="15">
        <v>47</v>
      </c>
      <c r="U40" s="15">
        <v>65</v>
      </c>
      <c r="V40" s="15">
        <v>3</v>
      </c>
      <c r="W40" s="15">
        <v>0</v>
      </c>
      <c r="X40" s="15">
        <v>3</v>
      </c>
      <c r="Y40" s="15">
        <v>381</v>
      </c>
      <c r="Z40" s="15">
        <v>235</v>
      </c>
      <c r="AA40" s="15">
        <v>616</v>
      </c>
      <c r="AB40" s="15">
        <v>99</v>
      </c>
      <c r="AC40" s="15">
        <v>38</v>
      </c>
      <c r="AD40" s="15">
        <v>137</v>
      </c>
      <c r="AE40" s="15">
        <v>25</v>
      </c>
      <c r="AF40" s="15">
        <v>15</v>
      </c>
      <c r="AG40" s="15">
        <v>40</v>
      </c>
      <c r="AH40" s="15">
        <v>21</v>
      </c>
      <c r="AI40" s="15">
        <v>4</v>
      </c>
      <c r="AJ40" s="15">
        <v>25</v>
      </c>
      <c r="AK40" s="15">
        <v>1</v>
      </c>
      <c r="AL40" s="15">
        <v>1</v>
      </c>
      <c r="AM40" s="15">
        <v>2</v>
      </c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</row>
    <row r="41" spans="1:53" ht="14.25" customHeight="1" x14ac:dyDescent="0.25">
      <c r="A41" s="3">
        <v>36</v>
      </c>
      <c r="B41" s="4">
        <v>94</v>
      </c>
      <c r="C41" s="5" t="s">
        <v>56</v>
      </c>
      <c r="D41" s="15">
        <v>68</v>
      </c>
      <c r="E41" s="15">
        <v>260</v>
      </c>
      <c r="F41" s="15">
        <v>328</v>
      </c>
      <c r="G41" s="15">
        <v>8</v>
      </c>
      <c r="H41" s="15">
        <v>26</v>
      </c>
      <c r="I41" s="15">
        <f t="shared" si="0"/>
        <v>34</v>
      </c>
      <c r="J41" s="15">
        <v>0</v>
      </c>
      <c r="K41" s="15">
        <v>1</v>
      </c>
      <c r="L41" s="15">
        <v>1</v>
      </c>
      <c r="M41" s="15">
        <v>1</v>
      </c>
      <c r="N41" s="15">
        <v>10</v>
      </c>
      <c r="O41" s="15">
        <v>11</v>
      </c>
      <c r="P41" s="15">
        <v>0</v>
      </c>
      <c r="Q41" s="15">
        <v>10</v>
      </c>
      <c r="R41" s="15">
        <v>10</v>
      </c>
      <c r="S41" s="15">
        <v>14</v>
      </c>
      <c r="T41" s="15">
        <v>181</v>
      </c>
      <c r="U41" s="15">
        <v>195</v>
      </c>
      <c r="V41" s="15">
        <v>10</v>
      </c>
      <c r="W41" s="15">
        <v>0</v>
      </c>
      <c r="X41" s="15">
        <v>10</v>
      </c>
      <c r="Y41" s="15">
        <v>292</v>
      </c>
      <c r="Z41" s="15">
        <v>268</v>
      </c>
      <c r="AA41" s="15">
        <v>560</v>
      </c>
      <c r="AB41" s="15">
        <v>102</v>
      </c>
      <c r="AC41" s="15">
        <v>71</v>
      </c>
      <c r="AD41" s="15">
        <v>173</v>
      </c>
      <c r="AE41" s="15">
        <v>31</v>
      </c>
      <c r="AF41" s="15">
        <v>29</v>
      </c>
      <c r="AG41" s="15">
        <v>60</v>
      </c>
      <c r="AH41" s="15">
        <v>17</v>
      </c>
      <c r="AI41" s="15">
        <v>37</v>
      </c>
      <c r="AJ41" s="15">
        <v>54</v>
      </c>
      <c r="AK41" s="15">
        <v>1</v>
      </c>
      <c r="AL41" s="15">
        <v>4</v>
      </c>
      <c r="AM41" s="15">
        <v>5</v>
      </c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</row>
    <row r="42" spans="1:53" ht="14.25" customHeight="1" x14ac:dyDescent="0.25">
      <c r="A42" s="3">
        <v>37</v>
      </c>
      <c r="B42" s="4">
        <v>95</v>
      </c>
      <c r="C42" s="5" t="s">
        <v>54</v>
      </c>
      <c r="D42" s="15">
        <v>32</v>
      </c>
      <c r="E42" s="15">
        <v>100</v>
      </c>
      <c r="F42" s="15">
        <v>132</v>
      </c>
      <c r="G42" s="15">
        <v>6</v>
      </c>
      <c r="H42" s="15">
        <v>95</v>
      </c>
      <c r="I42" s="15">
        <f t="shared" si="0"/>
        <v>101</v>
      </c>
      <c r="J42" s="15">
        <v>1</v>
      </c>
      <c r="K42" s="15">
        <v>0</v>
      </c>
      <c r="L42" s="15">
        <v>1</v>
      </c>
      <c r="M42" s="15">
        <v>0</v>
      </c>
      <c r="N42" s="15">
        <v>30</v>
      </c>
      <c r="O42" s="15">
        <v>30</v>
      </c>
      <c r="P42" s="15">
        <v>0</v>
      </c>
      <c r="Q42" s="15">
        <v>28</v>
      </c>
      <c r="R42" s="15">
        <v>28</v>
      </c>
      <c r="S42" s="15">
        <v>13</v>
      </c>
      <c r="T42" s="15">
        <v>223</v>
      </c>
      <c r="U42" s="15">
        <v>236</v>
      </c>
      <c r="V42" s="15">
        <v>0</v>
      </c>
      <c r="W42" s="15">
        <v>0</v>
      </c>
      <c r="X42" s="15">
        <v>0</v>
      </c>
      <c r="Y42" s="15">
        <v>516</v>
      </c>
      <c r="Z42" s="15">
        <v>163</v>
      </c>
      <c r="AA42" s="15">
        <v>679</v>
      </c>
      <c r="AB42" s="15">
        <v>160</v>
      </c>
      <c r="AC42" s="15">
        <v>55</v>
      </c>
      <c r="AD42" s="15">
        <v>215</v>
      </c>
      <c r="AE42" s="15">
        <v>50</v>
      </c>
      <c r="AF42" s="15">
        <v>22</v>
      </c>
      <c r="AG42" s="15">
        <v>72</v>
      </c>
      <c r="AH42" s="15">
        <v>12</v>
      </c>
      <c r="AI42" s="15">
        <v>13</v>
      </c>
      <c r="AJ42" s="15">
        <v>25</v>
      </c>
      <c r="AK42" s="15">
        <v>0</v>
      </c>
      <c r="AL42" s="15">
        <v>0</v>
      </c>
      <c r="AM42" s="15">
        <v>0</v>
      </c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</row>
    <row r="43" spans="1:53" ht="14.25" customHeight="1" x14ac:dyDescent="0.25">
      <c r="A43" s="3">
        <v>38</v>
      </c>
      <c r="B43" s="4">
        <v>96</v>
      </c>
      <c r="C43" s="5" t="s">
        <v>53</v>
      </c>
      <c r="D43" s="15">
        <v>35</v>
      </c>
      <c r="E43" s="15">
        <v>165</v>
      </c>
      <c r="F43" s="15">
        <v>200</v>
      </c>
      <c r="G43" s="15">
        <v>8</v>
      </c>
      <c r="H43" s="15">
        <v>63</v>
      </c>
      <c r="I43" s="15">
        <f t="shared" si="0"/>
        <v>71</v>
      </c>
      <c r="J43" s="15">
        <v>0</v>
      </c>
      <c r="K43" s="15">
        <v>0</v>
      </c>
      <c r="L43" s="15">
        <v>0</v>
      </c>
      <c r="M43" s="15">
        <v>2</v>
      </c>
      <c r="N43" s="15">
        <v>7</v>
      </c>
      <c r="O43" s="15">
        <v>9</v>
      </c>
      <c r="P43" s="15">
        <v>0</v>
      </c>
      <c r="Q43" s="15">
        <v>12</v>
      </c>
      <c r="R43" s="15">
        <v>12</v>
      </c>
      <c r="S43" s="15">
        <v>10</v>
      </c>
      <c r="T43" s="15">
        <v>46</v>
      </c>
      <c r="U43" s="15">
        <v>56</v>
      </c>
      <c r="V43" s="15">
        <v>0</v>
      </c>
      <c r="W43" s="15">
        <v>0</v>
      </c>
      <c r="X43" s="15">
        <v>0</v>
      </c>
      <c r="Y43" s="15">
        <v>313</v>
      </c>
      <c r="Z43" s="15">
        <v>251</v>
      </c>
      <c r="AA43" s="15">
        <v>564</v>
      </c>
      <c r="AB43" s="15">
        <v>132</v>
      </c>
      <c r="AC43" s="15">
        <v>63</v>
      </c>
      <c r="AD43" s="15">
        <v>195</v>
      </c>
      <c r="AE43" s="15">
        <v>50</v>
      </c>
      <c r="AF43" s="15">
        <v>32</v>
      </c>
      <c r="AG43" s="15">
        <v>82</v>
      </c>
      <c r="AH43" s="15">
        <v>16</v>
      </c>
      <c r="AI43" s="15">
        <v>22</v>
      </c>
      <c r="AJ43" s="15">
        <v>38</v>
      </c>
      <c r="AK43" s="15">
        <v>5</v>
      </c>
      <c r="AL43" s="15">
        <v>0</v>
      </c>
      <c r="AM43" s="15">
        <v>5</v>
      </c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</row>
    <row r="44" spans="1:53" ht="14.25" customHeight="1" x14ac:dyDescent="0.25">
      <c r="A44" s="6">
        <v>39</v>
      </c>
      <c r="B44" s="7" t="s">
        <v>63</v>
      </c>
      <c r="C44" s="8" t="s">
        <v>57</v>
      </c>
      <c r="D44" s="15">
        <v>6</v>
      </c>
      <c r="E44" s="15">
        <v>1</v>
      </c>
      <c r="F44" s="15">
        <v>7</v>
      </c>
      <c r="G44" s="15">
        <v>0</v>
      </c>
      <c r="H44" s="15">
        <v>0</v>
      </c>
      <c r="I44" s="15">
        <f t="shared" si="0"/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4</v>
      </c>
      <c r="T44" s="15">
        <v>9</v>
      </c>
      <c r="U44" s="15">
        <v>13</v>
      </c>
      <c r="V44" s="15">
        <v>0</v>
      </c>
      <c r="W44" s="15">
        <v>0</v>
      </c>
      <c r="X44" s="15">
        <v>0</v>
      </c>
      <c r="Y44" s="15">
        <v>96</v>
      </c>
      <c r="Z44" s="15">
        <v>28</v>
      </c>
      <c r="AA44" s="15">
        <v>124</v>
      </c>
      <c r="AB44" s="15">
        <v>45</v>
      </c>
      <c r="AC44" s="15">
        <v>10</v>
      </c>
      <c r="AD44" s="15">
        <v>55</v>
      </c>
      <c r="AE44" s="15">
        <v>11</v>
      </c>
      <c r="AF44" s="15">
        <v>1</v>
      </c>
      <c r="AG44" s="15">
        <v>12</v>
      </c>
      <c r="AH44" s="15">
        <v>1</v>
      </c>
      <c r="AI44" s="15">
        <v>0</v>
      </c>
      <c r="AJ44" s="15">
        <v>1</v>
      </c>
      <c r="AK44" s="15">
        <v>0</v>
      </c>
      <c r="AL44" s="15">
        <v>0</v>
      </c>
      <c r="AM44" s="15">
        <v>0</v>
      </c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</row>
    <row r="45" spans="1:53" ht="14.25" customHeight="1" x14ac:dyDescent="0.25">
      <c r="A45" s="17"/>
      <c r="B45" s="18"/>
      <c r="C45" s="9" t="s">
        <v>58</v>
      </c>
      <c r="D45" s="15">
        <f t="shared" ref="D45:AM45" si="1">SUM(D6:D44)</f>
        <v>7677</v>
      </c>
      <c r="E45" s="15">
        <f t="shared" si="1"/>
        <v>90415</v>
      </c>
      <c r="F45" s="15">
        <f t="shared" si="1"/>
        <v>98092</v>
      </c>
      <c r="G45" s="15">
        <f t="shared" si="1"/>
        <v>203</v>
      </c>
      <c r="H45" s="15">
        <f t="shared" si="1"/>
        <v>79439</v>
      </c>
      <c r="I45" s="15">
        <f t="shared" si="1"/>
        <v>79642</v>
      </c>
      <c r="J45" s="15">
        <f t="shared" si="1"/>
        <v>28</v>
      </c>
      <c r="K45" s="15">
        <f t="shared" si="1"/>
        <v>2340</v>
      </c>
      <c r="L45" s="15">
        <f t="shared" si="1"/>
        <v>2368</v>
      </c>
      <c r="M45" s="15">
        <f t="shared" si="1"/>
        <v>53</v>
      </c>
      <c r="N45" s="15">
        <f t="shared" si="1"/>
        <v>19056</v>
      </c>
      <c r="O45" s="15">
        <f t="shared" si="1"/>
        <v>19109</v>
      </c>
      <c r="P45" s="15">
        <f t="shared" si="1"/>
        <v>15</v>
      </c>
      <c r="Q45" s="15">
        <f t="shared" si="1"/>
        <v>12560</v>
      </c>
      <c r="R45" s="15">
        <f t="shared" si="1"/>
        <v>12575</v>
      </c>
      <c r="S45" s="15">
        <v>60</v>
      </c>
      <c r="T45" s="15">
        <v>10828</v>
      </c>
      <c r="U45" s="15">
        <v>10888</v>
      </c>
      <c r="V45" s="15">
        <f t="shared" si="1"/>
        <v>509</v>
      </c>
      <c r="W45" s="15">
        <f t="shared" si="1"/>
        <v>0</v>
      </c>
      <c r="X45" s="15">
        <f t="shared" si="1"/>
        <v>509</v>
      </c>
      <c r="Y45" s="15">
        <f t="shared" si="1"/>
        <v>129029</v>
      </c>
      <c r="Z45" s="15">
        <f t="shared" si="1"/>
        <v>20123</v>
      </c>
      <c r="AA45" s="15">
        <f t="shared" si="1"/>
        <v>149152</v>
      </c>
      <c r="AB45" s="15">
        <f t="shared" si="1"/>
        <v>24262</v>
      </c>
      <c r="AC45" s="15">
        <f t="shared" si="1"/>
        <v>19386</v>
      </c>
      <c r="AD45" s="15">
        <f t="shared" si="1"/>
        <v>43648</v>
      </c>
      <c r="AE45" s="15">
        <f t="shared" si="1"/>
        <v>7202</v>
      </c>
      <c r="AF45" s="15">
        <f t="shared" si="1"/>
        <v>7620</v>
      </c>
      <c r="AG45" s="15">
        <f t="shared" si="1"/>
        <v>14822</v>
      </c>
      <c r="AH45" s="15">
        <f t="shared" si="1"/>
        <v>3789</v>
      </c>
      <c r="AI45" s="15">
        <f t="shared" si="1"/>
        <v>10397</v>
      </c>
      <c r="AJ45" s="15">
        <f t="shared" si="1"/>
        <v>14186</v>
      </c>
      <c r="AK45" s="15">
        <f t="shared" si="1"/>
        <v>665</v>
      </c>
      <c r="AL45" s="15">
        <f t="shared" si="1"/>
        <v>1731</v>
      </c>
      <c r="AM45" s="15">
        <f t="shared" si="1"/>
        <v>2396</v>
      </c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</row>
    <row r="46" spans="1:53" ht="14.25" customHeight="1" x14ac:dyDescent="0.25"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</row>
    <row r="47" spans="1:53" ht="14.25" customHeight="1" x14ac:dyDescent="0.25"/>
    <row r="48" spans="1:5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</sheetData>
  <mergeCells count="19">
    <mergeCell ref="AH4:AJ4"/>
    <mergeCell ref="AK4:AM4"/>
    <mergeCell ref="Y3:AM3"/>
    <mergeCell ref="B3:B5"/>
    <mergeCell ref="C3:C5"/>
    <mergeCell ref="Y4:AA4"/>
    <mergeCell ref="AB4:AD4"/>
    <mergeCell ref="AE4:AG4"/>
    <mergeCell ref="A45:B45"/>
    <mergeCell ref="P4:R4"/>
    <mergeCell ref="S4:U4"/>
    <mergeCell ref="P3:X3"/>
    <mergeCell ref="V4:X4"/>
    <mergeCell ref="D3:O3"/>
    <mergeCell ref="D4:F4"/>
    <mergeCell ref="G4:I4"/>
    <mergeCell ref="J4:L4"/>
    <mergeCell ref="M4:O4"/>
    <mergeCell ref="A3:A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9"/>
  <sheetViews>
    <sheetView tabSelected="1" workbookViewId="0">
      <selection activeCell="B9" sqref="B9"/>
    </sheetView>
  </sheetViews>
  <sheetFormatPr defaultColWidth="14.42578125" defaultRowHeight="15" customHeight="1" x14ac:dyDescent="0.25"/>
  <cols>
    <col min="1" max="1" width="20.5703125" customWidth="1"/>
    <col min="2" max="2" width="83.140625" customWidth="1"/>
    <col min="3" max="26" width="8.7109375" customWidth="1"/>
  </cols>
  <sheetData>
    <row r="1" spans="1:2" ht="14.25" customHeight="1" x14ac:dyDescent="0.25"/>
    <row r="2" spans="1:2" ht="14.25" customHeight="1" x14ac:dyDescent="0.25">
      <c r="A2" s="40" t="s">
        <v>59</v>
      </c>
      <c r="B2" s="40" t="s">
        <v>76</v>
      </c>
    </row>
    <row r="3" spans="1:2" ht="14.25" customHeight="1" x14ac:dyDescent="0.25">
      <c r="A3" s="41"/>
      <c r="B3" s="41"/>
    </row>
    <row r="4" spans="1:2" ht="14.25" customHeight="1" x14ac:dyDescent="0.25">
      <c r="A4" s="42"/>
      <c r="B4" s="42"/>
    </row>
    <row r="5" spans="1:2" ht="14.25" customHeight="1" x14ac:dyDescent="0.25">
      <c r="A5" s="10" t="s">
        <v>60</v>
      </c>
      <c r="B5" s="11" t="s">
        <v>82</v>
      </c>
    </row>
    <row r="6" spans="1:2" ht="14.25" customHeight="1" x14ac:dyDescent="0.25">
      <c r="A6" s="10" t="s">
        <v>61</v>
      </c>
      <c r="B6" s="12" t="s">
        <v>77</v>
      </c>
    </row>
    <row r="7" spans="1:2" ht="14.25" customHeight="1" x14ac:dyDescent="0.25">
      <c r="A7" s="10" t="s">
        <v>62</v>
      </c>
      <c r="B7" s="13" t="s">
        <v>63</v>
      </c>
    </row>
    <row r="8" spans="1:2" ht="30" x14ac:dyDescent="0.25">
      <c r="A8" s="10" t="s">
        <v>64</v>
      </c>
      <c r="B8" s="12" t="s">
        <v>65</v>
      </c>
    </row>
    <row r="9" spans="1:2" ht="14.25" customHeight="1" x14ac:dyDescent="0.25">
      <c r="A9" s="10" t="s">
        <v>66</v>
      </c>
      <c r="B9" s="11" t="s">
        <v>67</v>
      </c>
    </row>
    <row r="10" spans="1:2" ht="14.25" customHeight="1" x14ac:dyDescent="0.25">
      <c r="A10" s="10" t="s">
        <v>68</v>
      </c>
      <c r="B10" s="11" t="s">
        <v>18</v>
      </c>
    </row>
    <row r="11" spans="1:2" ht="14.25" customHeight="1" x14ac:dyDescent="0.25">
      <c r="A11" s="10" t="s">
        <v>69</v>
      </c>
      <c r="B11" s="11" t="s">
        <v>70</v>
      </c>
    </row>
    <row r="12" spans="1:2" ht="14.25" customHeight="1" x14ac:dyDescent="0.25">
      <c r="A12" s="10" t="s">
        <v>71</v>
      </c>
      <c r="B12" s="11" t="s">
        <v>78</v>
      </c>
    </row>
    <row r="13" spans="1:2" ht="14.25" customHeight="1" x14ac:dyDescent="0.25">
      <c r="A13" s="14" t="s">
        <v>72</v>
      </c>
      <c r="B13" s="11" t="s">
        <v>3</v>
      </c>
    </row>
    <row r="14" spans="1:2" ht="14.25" customHeight="1" x14ac:dyDescent="0.25">
      <c r="A14" s="43" t="s">
        <v>73</v>
      </c>
      <c r="B14" s="11" t="s">
        <v>2</v>
      </c>
    </row>
    <row r="15" spans="1:2" ht="14.25" customHeight="1" x14ac:dyDescent="0.25">
      <c r="A15" s="41"/>
      <c r="B15" s="11" t="s">
        <v>74</v>
      </c>
    </row>
    <row r="16" spans="1:2" ht="14.25" customHeight="1" x14ac:dyDescent="0.25">
      <c r="A16" s="42"/>
      <c r="B16" s="11" t="s">
        <v>75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3">
    <mergeCell ref="A2:A4"/>
    <mergeCell ref="B2:B4"/>
    <mergeCell ref="A14:A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2025-11-17T07:07:41Z</dcterms:created>
  <dcterms:modified xsi:type="dcterms:W3CDTF">2026-03-09T00:59:50Z</dcterms:modified>
</cp:coreProperties>
</file>