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00KERJAAN00\PORTAL DATA\Pusdatin 30 11 2025\"/>
    </mc:Choice>
  </mc:AlternateContent>
  <xr:revisionPtr revIDLastSave="0" documentId="13_ncr:1_{71C26B51-72F9-497B-B396-F799C9D5551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" sheetId="1" r:id="rId1"/>
    <sheet name="Metadata" sheetId="2" r:id="rId2"/>
  </sheets>
  <calcPr calcId="191029"/>
  <extLst>
    <ext uri="GoogleSheetsCustomDataVersion2">
      <go:sheetsCustomData xmlns:go="http://customooxmlschemas.google.com/" r:id="rId6" roundtripDataChecksum="i0U5yQI7PbYHQpGr4QoJRBWl/m72UHWfHFAxL7VBSi4="/>
    </ext>
  </extLst>
</workbook>
</file>

<file path=xl/calcChain.xml><?xml version="1.0" encoding="utf-8"?>
<calcChain xmlns="http://schemas.openxmlformats.org/spreadsheetml/2006/main">
  <c r="E43" i="1" l="1"/>
  <c r="D43" i="1"/>
  <c r="F43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" i="1"/>
</calcChain>
</file>

<file path=xl/sharedStrings.xml><?xml version="1.0" encoding="utf-8"?>
<sst xmlns="http://schemas.openxmlformats.org/spreadsheetml/2006/main" count="71" uniqueCount="68">
  <si>
    <t>No</t>
  </si>
  <si>
    <t>Kode Wilayah</t>
  </si>
  <si>
    <t>Wilayah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</si>
  <si>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</si>
  <si>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</si>
  <si>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</si>
  <si>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</si>
  <si>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</si>
  <si>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</si>
  <si>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</si>
  <si>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</si>
  <si>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</si>
  <si>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</si>
  <si>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</si>
  <si>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</si>
  <si>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</si>
  <si>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</si>
  <si>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</si>
  <si>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</si>
  <si>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</si>
  <si>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</si>
  <si>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</si>
  <si>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</si>
  <si>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</si>
  <si>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</si>
  <si>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</si>
  <si>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</si>
  <si>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</si>
  <si>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</si>
  <si>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</si>
  <si>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</si>
  <si>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</si>
  <si>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</si>
  <si>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</si>
  <si>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</si>
  <si>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</si>
  <si>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</si>
  <si>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</si>
  <si>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</si>
  <si>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</si>
  <si>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</si>
  <si>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</si>
  <si>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</si>
  <si>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</si>
  <si>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</si>
  <si>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</si>
  <si>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</si>
  <si>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</si>
  <si>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</si>
  <si>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</si>
  <si>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</si>
  <si>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</si>
  <si>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</si>
  <si>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</si>
  <si>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</si>
  <si>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</si>
  <si>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Konsep</t>
  </si>
  <si>
    <t>Klasifikasi Penyajian</t>
  </si>
  <si>
    <t>Status Satuan Pendidikan</t>
  </si>
  <si>
    <t>Kementerian Pendidikan Dasar dan Menengah</t>
  </si>
  <si>
    <t>Peserta didik</t>
  </si>
  <si>
    <t>Jumlah Peserta Didik Perempuan Kelas 5 SD, Tahun Ajaran 2025/2026</t>
  </si>
  <si>
    <t>Penjumlahan peserta didik perempuan kelas lima (5) Sekolah Dasar (SD)</t>
  </si>
  <si>
    <t>Sebagai dasar perhitungan indikator Cakupan Imunisasi HPV</t>
  </si>
  <si>
    <t>Semakin tinggi angka, semakin banyak peserta didik perempuan kelas lima (5) Sekolah Dasar (SD)</t>
  </si>
  <si>
    <t>Orang</t>
  </si>
  <si>
    <t>Definisi</t>
  </si>
  <si>
    <t>Banyaknya peserta didik perempuan kelas lima (5) Sekolah Dasar (SD) pada tahun ajaran 2025/2026. Peserta didik yang dimaksud dalam indikator ini hanya peserta didik di bawah binaan Kemendikdasmen yaitu Sekolah Dasar (SD) dan Satuan Pendidikan Kerja Sama Sekolah Dasar (SPK SD).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</si>
</sst>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3" fontId="2" fillId="2" borderId="6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6" fillId="4" borderId="6" xfId="0" applyFont="1" applyFill="1" applyBorder="1" applyAlignment="1">
      <alignment wrapText="1"/>
    </xf>
    <xf numFmtId="0" fontId="6" fillId="4" borderId="6" xfId="0" applyFont="1" applyFill="1" applyBorder="1" applyAlignment="1">
      <alignment vertical="center" wrapText="1"/>
    </xf>
    <xf numFmtId="0" fontId="7" fillId="4" borderId="6" xfId="0" quotePrefix="1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65" fontId="5" fillId="3" borderId="6" xfId="1" applyNumberFormat="1" applyFont="1" applyFill="1" applyBorder="1" applyAlignment="1">
      <alignment horizontal="right" wrapText="1"/>
    </xf>
    <xf numFmtId="0" fontId="6" fillId="4" borderId="6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workbookViewId="0">
      <selection activeCell="A3" sqref="A3"/>
    </sheetView>
  </sheetViews>
  <sheetFormatPr defaultColWidth="14.42578125" defaultRowHeight="15" customHeight="1" x14ac:dyDescent="0.25"/>
  <cols>
    <col min="1" max="1" width="8.7109375" customWidth="1"/>
    <col min="2" max="2" width="13.5703125" customWidth="1"/>
    <col min="3" max="3" width="27.5703125" customWidth="1"/>
    <col min="4" max="6" width="11.7109375" customWidth="1"/>
    <col min="7" max="10" width="8.7109375" customWidth="1"/>
  </cols>
  <sheetData>
    <row r="1" spans="1:6" ht="14.25" customHeight="1" x14ac:dyDescent="0.25">
      <c r="A1" s="1" t="s">
        <v>61</v>
      </c>
    </row>
    <row r="2" spans="1:6" ht="14.25" customHeight="1" x14ac:dyDescent="0.25"/>
    <row r="3" spans="1:6" ht="27" customHeight="1" x14ac:dyDescent="0.25">
      <c r="A3" s="13" t="s">
        <v>0</v>
      </c>
      <c r="B3" s="14" t="s">
        <v>1</v>
      </c>
      <c r="C3" s="16" t="s">
        <v>2</v>
      </c>
      <c r="D3" s="2" t="s">
        <v>3</v>
      </c>
      <c r="E3" s="2" t="s">
        <v>4</v>
      </c>
      <c r="F3" s="2" t="s">
        <v>5</v>
      </c>
    </row>
    <row r="4" spans="1:6" ht="14.25" customHeight="1" x14ac:dyDescent="0.25">
      <c r="A4" s="3">
        <v>1</v>
      </c>
      <c r="B4" s="4">
        <v>11</v>
      </c>
      <c r="C4" s="5" t="s">
        <v>11</v>
      </c>
      <c r="D4" s="17">
        <v>35641</v>
      </c>
      <c r="E4" s="17">
        <v>2979</v>
      </c>
      <c r="F4" s="17">
        <f>D4+E4</f>
        <v>38620</v>
      </c>
    </row>
    <row r="5" spans="1:6" ht="14.25" customHeight="1" x14ac:dyDescent="0.25">
      <c r="A5" s="3">
        <v>2</v>
      </c>
      <c r="B5" s="4">
        <v>12</v>
      </c>
      <c r="C5" s="5" t="s">
        <v>12</v>
      </c>
      <c r="D5" s="17">
        <v>88869</v>
      </c>
      <c r="E5" s="17">
        <v>26998</v>
      </c>
      <c r="F5" s="17">
        <f t="shared" ref="F5:F43" si="0">D5+E5</f>
        <v>115867</v>
      </c>
    </row>
    <row r="6" spans="1:6" ht="14.25" customHeight="1" x14ac:dyDescent="0.25">
      <c r="A6" s="3">
        <v>3</v>
      </c>
      <c r="B6" s="4">
        <v>13</v>
      </c>
      <c r="C6" s="5" t="s">
        <v>13</v>
      </c>
      <c r="D6" s="17">
        <v>39938</v>
      </c>
      <c r="E6" s="17">
        <v>5342</v>
      </c>
      <c r="F6" s="17">
        <f t="shared" si="0"/>
        <v>45280</v>
      </c>
    </row>
    <row r="7" spans="1:6" ht="14.25" customHeight="1" x14ac:dyDescent="0.25">
      <c r="A7" s="3">
        <v>4</v>
      </c>
      <c r="B7" s="4">
        <v>14</v>
      </c>
      <c r="C7" s="5" t="s">
        <v>14</v>
      </c>
      <c r="D7" s="17">
        <v>49160</v>
      </c>
      <c r="E7" s="17">
        <v>10713</v>
      </c>
      <c r="F7" s="17">
        <f t="shared" si="0"/>
        <v>59873</v>
      </c>
    </row>
    <row r="8" spans="1:6" ht="14.25" customHeight="1" x14ac:dyDescent="0.25">
      <c r="A8" s="3">
        <v>5</v>
      </c>
      <c r="B8" s="4">
        <v>15</v>
      </c>
      <c r="C8" s="5" t="s">
        <v>15</v>
      </c>
      <c r="D8" s="17">
        <v>25956</v>
      </c>
      <c r="E8" s="17">
        <v>2657</v>
      </c>
      <c r="F8" s="17">
        <f t="shared" si="0"/>
        <v>28613</v>
      </c>
    </row>
    <row r="9" spans="1:6" ht="14.25" customHeight="1" x14ac:dyDescent="0.25">
      <c r="A9" s="3">
        <v>6</v>
      </c>
      <c r="B9" s="4">
        <v>16</v>
      </c>
      <c r="C9" s="5" t="s">
        <v>16</v>
      </c>
      <c r="D9" s="17">
        <v>61830</v>
      </c>
      <c r="E9" s="17">
        <v>6948</v>
      </c>
      <c r="F9" s="17">
        <f t="shared" si="0"/>
        <v>68778</v>
      </c>
    </row>
    <row r="10" spans="1:6" ht="14.25" customHeight="1" x14ac:dyDescent="0.25">
      <c r="A10" s="3">
        <v>7</v>
      </c>
      <c r="B10" s="4">
        <v>17</v>
      </c>
      <c r="C10" s="5" t="s">
        <v>30</v>
      </c>
      <c r="D10" s="17">
        <v>13175</v>
      </c>
      <c r="E10" s="17">
        <v>1618</v>
      </c>
      <c r="F10" s="17">
        <f t="shared" si="0"/>
        <v>14793</v>
      </c>
    </row>
    <row r="11" spans="1:6" ht="14.25" customHeight="1" x14ac:dyDescent="0.25">
      <c r="A11" s="3">
        <v>8</v>
      </c>
      <c r="B11" s="4">
        <v>18</v>
      </c>
      <c r="C11" s="5" t="s">
        <v>17</v>
      </c>
      <c r="D11" s="17">
        <v>55227</v>
      </c>
      <c r="E11" s="17">
        <v>6405</v>
      </c>
      <c r="F11" s="17">
        <f t="shared" si="0"/>
        <v>61632</v>
      </c>
    </row>
    <row r="12" spans="1:6" ht="14.25" customHeight="1" x14ac:dyDescent="0.25">
      <c r="A12" s="3">
        <v>9</v>
      </c>
      <c r="B12" s="4">
        <v>19</v>
      </c>
      <c r="C12" s="5" t="s">
        <v>33</v>
      </c>
      <c r="D12" s="17">
        <v>11284</v>
      </c>
      <c r="E12" s="17">
        <v>1256</v>
      </c>
      <c r="F12" s="17">
        <f t="shared" si="0"/>
        <v>12540</v>
      </c>
    </row>
    <row r="13" spans="1:6" ht="14.25" customHeight="1" x14ac:dyDescent="0.25">
      <c r="A13" s="3">
        <v>10</v>
      </c>
      <c r="B13" s="4">
        <v>21</v>
      </c>
      <c r="C13" s="5" t="s">
        <v>35</v>
      </c>
      <c r="D13" s="17">
        <v>12471</v>
      </c>
      <c r="E13" s="17">
        <v>5497</v>
      </c>
      <c r="F13" s="17">
        <f t="shared" si="0"/>
        <v>17968</v>
      </c>
    </row>
    <row r="14" spans="1:6" ht="14.25" customHeight="1" x14ac:dyDescent="0.25">
      <c r="A14" s="3">
        <v>11</v>
      </c>
      <c r="B14" s="4">
        <v>31</v>
      </c>
      <c r="C14" s="5" t="s">
        <v>6</v>
      </c>
      <c r="D14" s="17">
        <v>40136</v>
      </c>
      <c r="E14" s="17">
        <v>15679</v>
      </c>
      <c r="F14" s="17">
        <f t="shared" si="0"/>
        <v>55815</v>
      </c>
    </row>
    <row r="15" spans="1:6" ht="14.25" customHeight="1" x14ac:dyDescent="0.25">
      <c r="A15" s="3">
        <v>12</v>
      </c>
      <c r="B15" s="4">
        <v>32</v>
      </c>
      <c r="C15" s="5" t="s">
        <v>7</v>
      </c>
      <c r="D15" s="17">
        <v>296866</v>
      </c>
      <c r="E15" s="17">
        <v>44714</v>
      </c>
      <c r="F15" s="17">
        <f t="shared" si="0"/>
        <v>341580</v>
      </c>
    </row>
    <row r="16" spans="1:6" ht="14.25" customHeight="1" x14ac:dyDescent="0.25">
      <c r="A16" s="3">
        <v>13</v>
      </c>
      <c r="B16" s="4">
        <v>33</v>
      </c>
      <c r="C16" s="5" t="s">
        <v>8</v>
      </c>
      <c r="D16" s="17">
        <v>177719</v>
      </c>
      <c r="E16" s="17">
        <v>23724</v>
      </c>
      <c r="F16" s="17">
        <f t="shared" si="0"/>
        <v>201443</v>
      </c>
    </row>
    <row r="17" spans="1:6" ht="14.25" customHeight="1" x14ac:dyDescent="0.25">
      <c r="A17" s="3">
        <v>14</v>
      </c>
      <c r="B17" s="4">
        <v>34</v>
      </c>
      <c r="C17" s="5" t="s">
        <v>9</v>
      </c>
      <c r="D17" s="17">
        <v>14620</v>
      </c>
      <c r="E17" s="17">
        <v>6482</v>
      </c>
      <c r="F17" s="17">
        <f t="shared" si="0"/>
        <v>21102</v>
      </c>
    </row>
    <row r="18" spans="1:6" ht="14.25" customHeight="1" x14ac:dyDescent="0.25">
      <c r="A18" s="3">
        <v>15</v>
      </c>
      <c r="B18" s="4">
        <v>35</v>
      </c>
      <c r="C18" s="5" t="s">
        <v>10</v>
      </c>
      <c r="D18" s="17">
        <v>163842</v>
      </c>
      <c r="E18" s="17">
        <v>31239</v>
      </c>
      <c r="F18" s="17">
        <f t="shared" si="0"/>
        <v>195081</v>
      </c>
    </row>
    <row r="19" spans="1:6" ht="14.25" customHeight="1" x14ac:dyDescent="0.25">
      <c r="A19" s="3">
        <v>16</v>
      </c>
      <c r="B19" s="4">
        <v>36</v>
      </c>
      <c r="C19" s="5" t="s">
        <v>32</v>
      </c>
      <c r="D19" s="17">
        <v>77527</v>
      </c>
      <c r="E19" s="17">
        <v>14701</v>
      </c>
      <c r="F19" s="17">
        <f t="shared" si="0"/>
        <v>92228</v>
      </c>
    </row>
    <row r="20" spans="1:6" ht="14.25" customHeight="1" x14ac:dyDescent="0.25">
      <c r="A20" s="3">
        <v>17</v>
      </c>
      <c r="B20" s="4">
        <v>51</v>
      </c>
      <c r="C20" s="5" t="s">
        <v>27</v>
      </c>
      <c r="D20" s="17">
        <v>26957</v>
      </c>
      <c r="E20" s="17">
        <v>3048</v>
      </c>
      <c r="F20" s="17">
        <f t="shared" si="0"/>
        <v>30005</v>
      </c>
    </row>
    <row r="21" spans="1:6" ht="14.25" customHeight="1" x14ac:dyDescent="0.25">
      <c r="A21" s="3">
        <v>18</v>
      </c>
      <c r="B21" s="4">
        <v>52</v>
      </c>
      <c r="C21" s="5" t="s">
        <v>28</v>
      </c>
      <c r="D21" s="17">
        <v>36892</v>
      </c>
      <c r="E21" s="17">
        <v>3219</v>
      </c>
      <c r="F21" s="17">
        <f t="shared" si="0"/>
        <v>40111</v>
      </c>
    </row>
    <row r="22" spans="1:6" ht="14.25" customHeight="1" x14ac:dyDescent="0.25">
      <c r="A22" s="3">
        <v>19</v>
      </c>
      <c r="B22" s="4">
        <v>53</v>
      </c>
      <c r="C22" s="5" t="s">
        <v>29</v>
      </c>
      <c r="D22" s="17">
        <v>31977</v>
      </c>
      <c r="E22" s="17">
        <v>18471</v>
      </c>
      <c r="F22" s="17">
        <f t="shared" si="0"/>
        <v>50448</v>
      </c>
    </row>
    <row r="23" spans="1:6" ht="14.25" customHeight="1" x14ac:dyDescent="0.25">
      <c r="A23" s="3">
        <v>20</v>
      </c>
      <c r="B23" s="4">
        <v>61</v>
      </c>
      <c r="C23" s="5" t="s">
        <v>18</v>
      </c>
      <c r="D23" s="17">
        <v>37621</v>
      </c>
      <c r="E23" s="17">
        <v>4621</v>
      </c>
      <c r="F23" s="17">
        <f t="shared" si="0"/>
        <v>42242</v>
      </c>
    </row>
    <row r="24" spans="1:6" ht="14.25" customHeight="1" x14ac:dyDescent="0.25">
      <c r="A24" s="3">
        <v>21</v>
      </c>
      <c r="B24" s="4">
        <v>62</v>
      </c>
      <c r="C24" s="5" t="s">
        <v>19</v>
      </c>
      <c r="D24" s="17">
        <v>17690</v>
      </c>
      <c r="E24" s="17">
        <v>3321</v>
      </c>
      <c r="F24" s="17">
        <f t="shared" si="0"/>
        <v>21011</v>
      </c>
    </row>
    <row r="25" spans="1:6" ht="14.25" customHeight="1" x14ac:dyDescent="0.25">
      <c r="A25" s="3">
        <v>22</v>
      </c>
      <c r="B25" s="4">
        <v>63</v>
      </c>
      <c r="C25" s="5" t="s">
        <v>20</v>
      </c>
      <c r="D25" s="17">
        <v>24345</v>
      </c>
      <c r="E25" s="17">
        <v>2571</v>
      </c>
      <c r="F25" s="17">
        <f t="shared" si="0"/>
        <v>26916</v>
      </c>
    </row>
    <row r="26" spans="1:6" ht="14.25" customHeight="1" x14ac:dyDescent="0.25">
      <c r="A26" s="3">
        <v>23</v>
      </c>
      <c r="B26" s="4">
        <v>64</v>
      </c>
      <c r="C26" s="5" t="s">
        <v>21</v>
      </c>
      <c r="D26" s="17">
        <v>27482</v>
      </c>
      <c r="E26" s="17">
        <v>5165</v>
      </c>
      <c r="F26" s="17">
        <f t="shared" si="0"/>
        <v>32647</v>
      </c>
    </row>
    <row r="27" spans="1:6" ht="14.25" customHeight="1" x14ac:dyDescent="0.25">
      <c r="A27" s="3">
        <v>24</v>
      </c>
      <c r="B27" s="4">
        <v>65</v>
      </c>
      <c r="C27" s="5" t="s">
        <v>37</v>
      </c>
      <c r="D27" s="17">
        <v>5363</v>
      </c>
      <c r="E27" s="17">
        <v>730</v>
      </c>
      <c r="F27" s="17">
        <f t="shared" si="0"/>
        <v>6093</v>
      </c>
    </row>
    <row r="28" spans="1:6" ht="14.25" customHeight="1" x14ac:dyDescent="0.25">
      <c r="A28" s="3">
        <v>25</v>
      </c>
      <c r="B28" s="4">
        <v>71</v>
      </c>
      <c r="C28" s="5" t="s">
        <v>22</v>
      </c>
      <c r="D28" s="17">
        <v>10817</v>
      </c>
      <c r="E28" s="17">
        <v>6703</v>
      </c>
      <c r="F28" s="17">
        <f t="shared" si="0"/>
        <v>17520</v>
      </c>
    </row>
    <row r="29" spans="1:6" ht="14.25" customHeight="1" x14ac:dyDescent="0.25">
      <c r="A29" s="3">
        <v>26</v>
      </c>
      <c r="B29" s="4">
        <v>72</v>
      </c>
      <c r="C29" s="5" t="s">
        <v>23</v>
      </c>
      <c r="D29" s="17">
        <v>21898</v>
      </c>
      <c r="E29" s="17">
        <v>2101</v>
      </c>
      <c r="F29" s="17">
        <f t="shared" si="0"/>
        <v>23999</v>
      </c>
    </row>
    <row r="30" spans="1:6" ht="14.25" customHeight="1" x14ac:dyDescent="0.25">
      <c r="A30" s="3">
        <v>27</v>
      </c>
      <c r="B30" s="4">
        <v>73</v>
      </c>
      <c r="C30" s="5" t="s">
        <v>24</v>
      </c>
      <c r="D30" s="17">
        <v>63455</v>
      </c>
      <c r="E30" s="17">
        <v>5718</v>
      </c>
      <c r="F30" s="17">
        <f t="shared" si="0"/>
        <v>69173</v>
      </c>
    </row>
    <row r="31" spans="1:6" ht="14.25" customHeight="1" x14ac:dyDescent="0.25">
      <c r="A31" s="3">
        <v>28</v>
      </c>
      <c r="B31" s="4">
        <v>74</v>
      </c>
      <c r="C31" s="5" t="s">
        <v>25</v>
      </c>
      <c r="D31" s="17">
        <v>22671</v>
      </c>
      <c r="E31" s="17">
        <v>1075</v>
      </c>
      <c r="F31" s="17">
        <f t="shared" si="0"/>
        <v>23746</v>
      </c>
    </row>
    <row r="32" spans="1:6" ht="14.25" customHeight="1" x14ac:dyDescent="0.25">
      <c r="A32" s="3">
        <v>29</v>
      </c>
      <c r="B32" s="4">
        <v>75</v>
      </c>
      <c r="C32" s="5" t="s">
        <v>34</v>
      </c>
      <c r="D32" s="17">
        <v>7831</v>
      </c>
      <c r="E32" s="17">
        <v>347</v>
      </c>
      <c r="F32" s="17">
        <f t="shared" si="0"/>
        <v>8178</v>
      </c>
    </row>
    <row r="33" spans="1:6" ht="14.25" customHeight="1" x14ac:dyDescent="0.25">
      <c r="A33" s="3">
        <v>30</v>
      </c>
      <c r="B33" s="4">
        <v>76</v>
      </c>
      <c r="C33" s="5" t="s">
        <v>36</v>
      </c>
      <c r="D33" s="17">
        <v>10495</v>
      </c>
      <c r="E33" s="17">
        <v>344</v>
      </c>
      <c r="F33" s="17">
        <f t="shared" si="0"/>
        <v>10839</v>
      </c>
    </row>
    <row r="34" spans="1:6" ht="14.25" customHeight="1" x14ac:dyDescent="0.25">
      <c r="A34" s="3">
        <v>31</v>
      </c>
      <c r="B34" s="4">
        <v>81</v>
      </c>
      <c r="C34" s="5" t="s">
        <v>26</v>
      </c>
      <c r="D34" s="17">
        <v>11274</v>
      </c>
      <c r="E34" s="17">
        <v>4302</v>
      </c>
      <c r="F34" s="17">
        <f t="shared" si="0"/>
        <v>15576</v>
      </c>
    </row>
    <row r="35" spans="1:6" ht="14.25" customHeight="1" x14ac:dyDescent="0.25">
      <c r="A35" s="3">
        <v>32</v>
      </c>
      <c r="B35" s="4">
        <v>82</v>
      </c>
      <c r="C35" s="5" t="s">
        <v>31</v>
      </c>
      <c r="D35" s="17">
        <v>9172</v>
      </c>
      <c r="E35" s="17">
        <v>1724</v>
      </c>
      <c r="F35" s="17">
        <f t="shared" si="0"/>
        <v>10896</v>
      </c>
    </row>
    <row r="36" spans="1:6" ht="14.25" customHeight="1" x14ac:dyDescent="0.25">
      <c r="A36" s="3">
        <v>33</v>
      </c>
      <c r="B36" s="4">
        <v>91</v>
      </c>
      <c r="C36" s="5" t="s">
        <v>38</v>
      </c>
      <c r="D36" s="17">
        <v>5169</v>
      </c>
      <c r="E36" s="17">
        <v>3743</v>
      </c>
      <c r="F36" s="17">
        <f t="shared" si="0"/>
        <v>8912</v>
      </c>
    </row>
    <row r="37" spans="1:6" ht="14.25" customHeight="1" x14ac:dyDescent="0.25">
      <c r="A37" s="3">
        <v>34</v>
      </c>
      <c r="B37" s="4">
        <v>92</v>
      </c>
      <c r="C37" s="5" t="s">
        <v>39</v>
      </c>
      <c r="D37" s="17">
        <v>3472</v>
      </c>
      <c r="E37" s="17">
        <v>1824</v>
      </c>
      <c r="F37" s="17">
        <f t="shared" si="0"/>
        <v>5296</v>
      </c>
    </row>
    <row r="38" spans="1:6" ht="14.25" customHeight="1" x14ac:dyDescent="0.25">
      <c r="A38" s="3">
        <v>35</v>
      </c>
      <c r="B38" s="4">
        <v>93</v>
      </c>
      <c r="C38" s="5" t="s">
        <v>42</v>
      </c>
      <c r="D38" s="17">
        <v>4307</v>
      </c>
      <c r="E38" s="17">
        <v>2722</v>
      </c>
      <c r="F38" s="17">
        <f t="shared" si="0"/>
        <v>7029</v>
      </c>
    </row>
    <row r="39" spans="1:6" ht="14.25" customHeight="1" x14ac:dyDescent="0.25">
      <c r="A39" s="3">
        <v>36</v>
      </c>
      <c r="B39" s="4">
        <v>94</v>
      </c>
      <c r="C39" s="5" t="s">
        <v>43</v>
      </c>
      <c r="D39" s="17">
        <v>5449</v>
      </c>
      <c r="E39" s="17">
        <v>6446</v>
      </c>
      <c r="F39" s="17">
        <f t="shared" si="0"/>
        <v>11895</v>
      </c>
    </row>
    <row r="40" spans="1:6" ht="14.25" customHeight="1" x14ac:dyDescent="0.25">
      <c r="A40" s="3">
        <v>37</v>
      </c>
      <c r="B40" s="4">
        <v>95</v>
      </c>
      <c r="C40" s="5" t="s">
        <v>41</v>
      </c>
      <c r="D40" s="17">
        <v>9904</v>
      </c>
      <c r="E40" s="17">
        <v>3039</v>
      </c>
      <c r="F40" s="17">
        <f t="shared" si="0"/>
        <v>12943</v>
      </c>
    </row>
    <row r="41" spans="1:6" ht="14.25" customHeight="1" x14ac:dyDescent="0.25">
      <c r="A41" s="3">
        <v>38</v>
      </c>
      <c r="B41" s="4">
        <v>96</v>
      </c>
      <c r="C41" s="5" t="s">
        <v>40</v>
      </c>
      <c r="D41" s="17">
        <v>2629</v>
      </c>
      <c r="E41" s="17">
        <v>1807</v>
      </c>
      <c r="F41" s="17">
        <f t="shared" si="0"/>
        <v>4436</v>
      </c>
    </row>
    <row r="42" spans="1:6" ht="14.25" customHeight="1" x14ac:dyDescent="0.25">
      <c r="A42" s="6">
        <v>39</v>
      </c>
      <c r="B42" s="7" t="s">
        <v>49</v>
      </c>
      <c r="C42" s="8" t="s">
        <v>44</v>
      </c>
      <c r="D42" s="17">
        <v>1075</v>
      </c>
      <c r="E42" s="17">
        <v>305</v>
      </c>
      <c r="F42" s="17">
        <f t="shared" si="0"/>
        <v>1380</v>
      </c>
    </row>
    <row r="43" spans="1:6" ht="14.25" customHeight="1" x14ac:dyDescent="0.25">
      <c r="A43" s="19"/>
      <c r="B43" s="20"/>
      <c r="C43" s="5" t="s">
        <v>45</v>
      </c>
      <c r="D43" s="17">
        <f>SUM(D4:D42)</f>
        <v>1562206</v>
      </c>
      <c r="E43" s="17">
        <f>SUM(E4:E42)</f>
        <v>290298</v>
      </c>
      <c r="F43" s="17">
        <f t="shared" si="0"/>
        <v>1852504</v>
      </c>
    </row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sortState xmlns:xlrd2="http://schemas.microsoft.com/office/spreadsheetml/2017/richdata2" ref="B4:F42">
    <sortCondition ref="B4:B42"/>
  </sortState>
  <mergeCells count="1">
    <mergeCell ref="A43:B4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8"/>
  <sheetViews>
    <sheetView tabSelected="1" workbookViewId="0">
      <selection activeCell="B5" sqref="B5"/>
    </sheetView>
  </sheetViews>
  <sheetFormatPr defaultColWidth="14.42578125" defaultRowHeight="15" customHeight="1" x14ac:dyDescent="0.25"/>
  <cols>
    <col min="1" max="1" width="20.5703125" customWidth="1"/>
    <col min="2" max="2" width="8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1" t="s">
        <v>46</v>
      </c>
      <c r="B2" s="25" t="s">
        <v>61</v>
      </c>
    </row>
    <row r="3" spans="1:2" ht="14.25" customHeight="1" x14ac:dyDescent="0.25">
      <c r="A3" s="22"/>
      <c r="B3" s="26"/>
    </row>
    <row r="4" spans="1:2" ht="14.25" customHeight="1" x14ac:dyDescent="0.25">
      <c r="A4" s="23"/>
      <c r="B4" s="27"/>
    </row>
    <row r="5" spans="1:2" ht="60" x14ac:dyDescent="0.25">
      <c r="A5" s="9" t="s">
        <v>66</v>
      </c>
      <c r="B5" s="18" t="s">
        <v>67</v>
      </c>
    </row>
    <row r="6" spans="1:2" ht="30" x14ac:dyDescent="0.25">
      <c r="A6" s="9" t="s">
        <v>47</v>
      </c>
      <c r="B6" s="11" t="s">
        <v>62</v>
      </c>
    </row>
    <row r="7" spans="1:2" ht="14.25" customHeight="1" x14ac:dyDescent="0.25">
      <c r="A7" s="9" t="s">
        <v>48</v>
      </c>
      <c r="B7" s="12" t="s">
        <v>63</v>
      </c>
    </row>
    <row r="8" spans="1:2" ht="30" x14ac:dyDescent="0.25">
      <c r="A8" s="9" t="s">
        <v>50</v>
      </c>
      <c r="B8" s="11" t="s">
        <v>64</v>
      </c>
    </row>
    <row r="9" spans="1:2" ht="14.25" customHeight="1" x14ac:dyDescent="0.25">
      <c r="A9" s="9" t="s">
        <v>51</v>
      </c>
      <c r="B9" s="10" t="s">
        <v>52</v>
      </c>
    </row>
    <row r="10" spans="1:2" ht="14.25" customHeight="1" x14ac:dyDescent="0.25">
      <c r="A10" s="9" t="s">
        <v>53</v>
      </c>
      <c r="B10" s="10" t="s">
        <v>5</v>
      </c>
    </row>
    <row r="11" spans="1:2" ht="14.25" customHeight="1" x14ac:dyDescent="0.25">
      <c r="A11" s="9" t="s">
        <v>54</v>
      </c>
      <c r="B11" s="10" t="s">
        <v>65</v>
      </c>
    </row>
    <row r="12" spans="1:2" ht="14.25" customHeight="1" x14ac:dyDescent="0.25">
      <c r="A12" s="9" t="s">
        <v>55</v>
      </c>
      <c r="B12" s="10" t="s">
        <v>59</v>
      </c>
    </row>
    <row r="13" spans="1:2" ht="14.25" customHeight="1" x14ac:dyDescent="0.25">
      <c r="A13" s="15" t="s">
        <v>56</v>
      </c>
      <c r="B13" s="10" t="s">
        <v>60</v>
      </c>
    </row>
    <row r="14" spans="1:2" ht="14.25" customHeight="1" x14ac:dyDescent="0.25">
      <c r="A14" s="24" t="s">
        <v>57</v>
      </c>
      <c r="B14" s="10" t="s">
        <v>2</v>
      </c>
    </row>
    <row r="15" spans="1:2" ht="14.25" customHeight="1" x14ac:dyDescent="0.25">
      <c r="A15" s="23"/>
      <c r="B15" s="10" t="s">
        <v>58</v>
      </c>
    </row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mergeCells count="3">
    <mergeCell ref="A2:A4"/>
    <mergeCell ref="B2:B4"/>
    <mergeCell ref="A14:A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2025-11-17T07:07:41Z</dcterms:created>
  <dcterms:modified xsi:type="dcterms:W3CDTF">2026-04-07T04:50:26Z</dcterms:modified>
</cp:coreProperties>
</file>