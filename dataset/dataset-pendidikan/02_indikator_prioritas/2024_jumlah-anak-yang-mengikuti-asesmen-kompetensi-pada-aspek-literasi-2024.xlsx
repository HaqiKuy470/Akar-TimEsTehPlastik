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A7FB9ED4-B6E6-4055-9436-77B7F9ADD2A5}" xr6:coauthVersionLast="47" xr6:coauthVersionMax="47" xr10:uidLastSave="{00000000-0000-0000-0000-000000000000}"/>
  <bookViews>
    <workbookView xWindow="-120" yWindow="-120" windowWidth="29040" windowHeight="15720" xr2:uid="{00000000-000D-0000-FFFF-FFFF00000000}"/>
  </bookViews>
  <sheets>
    <sheet name="Data" sheetId="6" r:id="rId1"/>
    <sheet name="Metadata"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6" l="1"/>
  <c r="D17" i="6"/>
  <c r="D16" i="6"/>
  <c r="D15" i="6"/>
  <c r="D14" i="6"/>
  <c r="D13" i="6"/>
  <c r="D12" i="6"/>
  <c r="D11" i="6"/>
  <c r="D10" i="6"/>
  <c r="D9" i="6"/>
  <c r="D8" i="6"/>
  <c r="D7" i="6"/>
  <c r="D6" i="6"/>
  <c r="D5" i="6"/>
  <c r="G18" i="6"/>
  <c r="G17" i="6"/>
  <c r="G16" i="6"/>
  <c r="G15" i="6"/>
  <c r="G14" i="6"/>
  <c r="G13" i="6"/>
  <c r="G12" i="6"/>
  <c r="G11" i="6"/>
  <c r="G10" i="6"/>
  <c r="G9" i="6"/>
  <c r="G8" i="6"/>
  <c r="G7" i="6"/>
  <c r="G6" i="6"/>
  <c r="G5" i="6"/>
  <c r="J18" i="6"/>
  <c r="J17" i="6"/>
  <c r="J16" i="6"/>
  <c r="J15" i="6"/>
  <c r="J14" i="6"/>
  <c r="J13" i="6"/>
  <c r="J12" i="6"/>
  <c r="J11" i="6"/>
  <c r="J10" i="6"/>
  <c r="J9" i="6"/>
  <c r="J8" i="6"/>
  <c r="J7" i="6"/>
  <c r="J6" i="6"/>
  <c r="J5" i="6"/>
  <c r="M6" i="6"/>
  <c r="M7" i="6"/>
  <c r="M8" i="6"/>
  <c r="M9" i="6"/>
  <c r="M10" i="6"/>
  <c r="M11" i="6"/>
  <c r="M12" i="6"/>
  <c r="M13" i="6"/>
  <c r="M14" i="6"/>
  <c r="M15" i="6"/>
  <c r="M16" i="6"/>
  <c r="M17" i="6"/>
  <c r="M5" i="6"/>
  <c r="L18" i="6"/>
  <c r="K18" i="6"/>
  <c r="M18" i="6" l="1"/>
</calcChain>
</file>

<file path=xl/sharedStrings.xml><?xml version="1.0" encoding="utf-8"?>
<sst xmlns="http://schemas.openxmlformats.org/spreadsheetml/2006/main" count="58" uniqueCount="47">
  <si>
    <t>Paket A</t>
  </si>
  <si>
    <t>Paket B</t>
  </si>
  <si>
    <t>Paket C</t>
  </si>
  <si>
    <t>SMK</t>
  </si>
  <si>
    <t>AN 2021</t>
  </si>
  <si>
    <t>AN 2022</t>
  </si>
  <si>
    <t>AN 2023</t>
  </si>
  <si>
    <t>%</t>
  </si>
  <si>
    <t>SMA</t>
  </si>
  <si>
    <t>MA</t>
  </si>
  <si>
    <t>SMA-LB</t>
  </si>
  <si>
    <t>SMP</t>
  </si>
  <si>
    <t>MTs</t>
  </si>
  <si>
    <t>SMP-LB</t>
  </si>
  <si>
    <t>SD</t>
  </si>
  <si>
    <t>MI</t>
  </si>
  <si>
    <t>SD-LB</t>
  </si>
  <si>
    <t>TOTAL</t>
  </si>
  <si>
    <t>Sampel</t>
  </si>
  <si>
    <t>Partisipasi</t>
  </si>
  <si>
    <t>AN 2024</t>
  </si>
  <si>
    <t>Bentuk Satuan Pendidikan</t>
  </si>
  <si>
    <t>Indikator Kegiatan</t>
  </si>
  <si>
    <t>Nama</t>
  </si>
  <si>
    <t>Deskripsi</t>
  </si>
  <si>
    <t>Mekanisme Perhitungan</t>
  </si>
  <si>
    <t>Manfaat</t>
  </si>
  <si>
    <t>Sebagai dasar perencanaan mutu pendidikan</t>
  </si>
  <si>
    <t>Interpretasi</t>
  </si>
  <si>
    <t>Frekuensi Update Data</t>
  </si>
  <si>
    <t>Tahunan</t>
  </si>
  <si>
    <t>Ukuran</t>
  </si>
  <si>
    <t>Satuan</t>
  </si>
  <si>
    <t>Organisasi Penanggung Jawab</t>
  </si>
  <si>
    <t>Kementerian Pendidikan, Kebudayaan, Riset, dan Teknologi (KEMENDIKBUDRISTEK)</t>
  </si>
  <si>
    <t>Konsep</t>
  </si>
  <si>
    <t>1. Asesmen Nasional (AN)</t>
  </si>
  <si>
    <t>Klasifikasi Penyajian</t>
  </si>
  <si>
    <t xml:space="preserve">Peserta didik yang berpartisipasi dalam pelaksanaan Asesmen Kompetensi Minimum (AKM) pada aspek literasi.
AKM merupakan bagian dari Asesmen Nasional (AN) yang bertujuan untuk mengukur literasi membaca dan numerasi siswa. AKM dilakukan untuk mengukur kompetensi dasar yang dibutuhkan siswa untuk mengembangkan diri dan berpartisipasi dalam masyarakat. AKM juga digunakan untuk mendiagnosis hasil belajar siswa sehingga guru dapat menyesuaikan pembelajaran dengan tingkat kompetensi siswa. </t>
  </si>
  <si>
    <t>Total</t>
  </si>
  <si>
    <t>Peserta Didik</t>
  </si>
  <si>
    <t>3. Peserta Didik</t>
  </si>
  <si>
    <t>4. Aspek Literasi</t>
  </si>
  <si>
    <t>2. Asesmen Kompetensi Minimum (AKM)</t>
  </si>
  <si>
    <t>Semakin tinggi jumlahnya, semakin besar tingkat partisipasi peserta didik yang dalam mengikuti Asesmen Kompetensi Minimum (AKM) pada aspek literasi.</t>
  </si>
  <si>
    <t>Jumlah Anak yang Mengikuti Asesmen Kompetensi Minimum (AKM) pada Aspek Literasi</t>
  </si>
  <si>
    <t>Penjumlahan peserta didik yang mengikuti asesmen kompetensi pada aspek literasi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</si>
</sst>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_-* #,##0.00_-;\-* #,##0.00_-;_-* &quot;-&quot;_-;_-@_-"/>
  </numFmts>
  <fonts count="8" x14ac:knownFonts="1">
    <font>
      <sz val="11"/>
      <color rgb="FF000000"/>
      <name val="Calibri"/>
    </font>
    <font>
      <b/>
      <sz val="11"/>
      <color rgb="FF000000"/>
      <name val="Calibri"/>
      <family val="2"/>
    </font>
    <font>
      <sz val="11"/>
      <color rgb="FF000000"/>
      <name val="Calibri"/>
      <family val="2"/>
    </font>
    <font>
      <sz val="11"/>
      <color rgb="FF000000"/>
      <name val="Calibri"/>
      <family val="2"/>
    </font>
    <font>
      <b/>
      <sz val="10"/>
      <color theme="1"/>
      <name val="Arial"/>
      <family val="2"/>
    </font>
    <font>
      <sz val="10"/>
      <name val="Aptos Narrow"/>
      <family val="2"/>
    </font>
    <font>
      <b/>
      <sz val="10"/>
      <color rgb="FFFFFFFF"/>
      <name val="Arial"/>
      <family val="2"/>
    </font>
    <font>
      <sz val="10"/>
      <color theme="1"/>
      <name val="Arial"/>
      <family val="2"/>
    </font>
  </fonts>
  <fills count="4">
    <fill>
      <patternFill patternType="none"/>
    </fill>
    <fill>
      <patternFill patternType="gray125"/>
    </fill>
    <fill>
      <patternFill patternType="none"/>
    </fill>
    <fill>
      <patternFill patternType="solid">
        <fgColor rgb="FF3C78D8"/>
        <bgColor rgb="FF3C78D8"/>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s>
  <cellStyleXfs count="3">
    <xf numFmtId="0" fontId="0" fillId="0" borderId="0"/>
    <xf numFmtId="0" fontId="2" fillId="2" borderId="0"/>
    <xf numFmtId="41" fontId="3" fillId="0" borderId="0" applyFont="0" applyFill="0" applyBorder="0" applyAlignment="0" applyProtection="0"/>
  </cellStyleXfs>
  <cellXfs count="23">
    <xf numFmtId="0" fontId="0" fillId="0" borderId="0" xfId="0"/>
    <xf numFmtId="0" fontId="0" fillId="0" borderId="0" xfId="0" applyAlignment="1">
      <alignment horizontal="center"/>
    </xf>
    <xf numFmtId="0" fontId="0" fillId="0" borderId="1" xfId="0" applyBorder="1" applyAlignment="1">
      <alignment vertical="center"/>
    </xf>
    <xf numFmtId="164" fontId="0" fillId="0" borderId="1" xfId="2" applyNumberFormat="1" applyFont="1" applyBorder="1" applyAlignment="1">
      <alignment vertical="center"/>
    </xf>
    <xf numFmtId="41" fontId="0" fillId="0" borderId="1" xfId="2"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164" fontId="1" fillId="0" borderId="1" xfId="2" applyNumberFormat="1" applyFont="1" applyBorder="1" applyAlignment="1">
      <alignment vertical="center"/>
    </xf>
    <xf numFmtId="41" fontId="1" fillId="0" borderId="1" xfId="2" applyFont="1" applyBorder="1" applyAlignment="1">
      <alignment vertical="center"/>
    </xf>
    <xf numFmtId="0" fontId="1" fillId="0" borderId="0" xfId="0" applyFont="1"/>
    <xf numFmtId="0" fontId="6" fillId="3" borderId="4" xfId="0" applyFont="1" applyFill="1" applyBorder="1" applyAlignment="1">
      <alignment horizontal="center" vertical="center"/>
    </xf>
    <xf numFmtId="0" fontId="6" fillId="3" borderId="4" xfId="0" applyFont="1" applyFill="1" applyBorder="1" applyAlignment="1">
      <alignment horizontal="left" wrapText="1"/>
    </xf>
    <xf numFmtId="0" fontId="7" fillId="0" borderId="4" xfId="0" applyFont="1" applyBorder="1" applyAlignment="1">
      <alignment vertical="top"/>
    </xf>
    <xf numFmtId="0" fontId="7" fillId="0" borderId="4" xfId="0" applyFont="1" applyBorder="1" applyAlignment="1">
      <alignment horizontal="left" vertical="top" wrapText="1"/>
    </xf>
    <xf numFmtId="0" fontId="7" fillId="0" borderId="4" xfId="0" applyFont="1" applyBorder="1" applyAlignment="1">
      <alignment horizontal="left" vertical="top"/>
    </xf>
    <xf numFmtId="0" fontId="7" fillId="0" borderId="7" xfId="0" applyFont="1" applyBorder="1" applyAlignment="1">
      <alignment vertical="top"/>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4" fillId="0" borderId="2" xfId="0" applyFont="1" applyBorder="1" applyAlignment="1">
      <alignment horizontal="center" vertical="center"/>
    </xf>
    <xf numFmtId="0" fontId="5" fillId="0" borderId="3" xfId="0" applyFont="1" applyBorder="1"/>
    <xf numFmtId="0" fontId="7" fillId="0" borderId="5" xfId="0" applyFont="1" applyBorder="1" applyAlignment="1">
      <alignment vertical="top"/>
    </xf>
    <xf numFmtId="0" fontId="7" fillId="0" borderId="8" xfId="0" applyFont="1" applyBorder="1" applyAlignment="1">
      <alignment vertical="top"/>
    </xf>
    <xf numFmtId="0" fontId="5" fillId="0" borderId="6" xfId="0" applyFont="1" applyBorder="1" applyAlignment="1">
      <alignment vertical="top"/>
    </xf>
  </cellXfs>
  <cellStyles count="3">
    <cellStyle name="Comma [0]" xfId="2" builtinId="6"/>
    <cellStyle name="Normal" xfId="0" builtinId="0"/>
    <cellStyle name="Normal 2" xfId="1" xr:uid="{5120CC39-1892-4E10-940E-127EAD5CB01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506A-D701-4F4A-B4AF-1D865748EBB0}">
  <dimension ref="A1:M18"/>
  <sheetViews>
    <sheetView tabSelected="1" workbookViewId="0">
      <selection activeCell="F21" sqref="F21"/>
    </sheetView>
  </sheetViews>
  <sheetFormatPr defaultRowHeight="15" x14ac:dyDescent="0.25"/>
  <cols>
    <col min="1" max="1" width="15.85546875" customWidth="1"/>
    <col min="2" max="3" width="10.42578125" bestFit="1" customWidth="1"/>
    <col min="4" max="4" width="7.85546875" bestFit="1" customWidth="1"/>
    <col min="5" max="6" width="10.42578125" bestFit="1" customWidth="1"/>
    <col min="7" max="7" width="7.85546875" bestFit="1" customWidth="1"/>
    <col min="8" max="9" width="10.42578125" bestFit="1" customWidth="1"/>
    <col min="10" max="10" width="7.85546875" bestFit="1" customWidth="1"/>
    <col min="11" max="12" width="10.42578125" bestFit="1" customWidth="1"/>
    <col min="13" max="13" width="6.85546875" bestFit="1" customWidth="1"/>
  </cols>
  <sheetData>
    <row r="1" spans="1:13" x14ac:dyDescent="0.25">
      <c r="A1" s="9" t="s">
        <v>45</v>
      </c>
    </row>
    <row r="3" spans="1:13" s="1" customFormat="1" x14ac:dyDescent="0.25">
      <c r="A3" s="16" t="s">
        <v>21</v>
      </c>
      <c r="B3" s="17" t="s">
        <v>4</v>
      </c>
      <c r="C3" s="17"/>
      <c r="D3" s="17"/>
      <c r="E3" s="17" t="s">
        <v>5</v>
      </c>
      <c r="F3" s="17"/>
      <c r="G3" s="17"/>
      <c r="H3" s="17" t="s">
        <v>6</v>
      </c>
      <c r="I3" s="17"/>
      <c r="J3" s="17"/>
      <c r="K3" s="17" t="s">
        <v>20</v>
      </c>
      <c r="L3" s="17"/>
      <c r="M3" s="17"/>
    </row>
    <row r="4" spans="1:13" s="1" customFormat="1" x14ac:dyDescent="0.25">
      <c r="A4" s="16"/>
      <c r="B4" s="5" t="s">
        <v>18</v>
      </c>
      <c r="C4" s="5" t="s">
        <v>19</v>
      </c>
      <c r="D4" s="5" t="s">
        <v>7</v>
      </c>
      <c r="E4" s="5" t="s">
        <v>18</v>
      </c>
      <c r="F4" s="5" t="s">
        <v>19</v>
      </c>
      <c r="G4" s="5" t="s">
        <v>7</v>
      </c>
      <c r="H4" s="5" t="s">
        <v>18</v>
      </c>
      <c r="I4" s="5" t="s">
        <v>19</v>
      </c>
      <c r="J4" s="5" t="s">
        <v>7</v>
      </c>
      <c r="K4" s="5" t="s">
        <v>18</v>
      </c>
      <c r="L4" s="5" t="s">
        <v>19</v>
      </c>
      <c r="M4" s="5" t="s">
        <v>7</v>
      </c>
    </row>
    <row r="5" spans="1:13" x14ac:dyDescent="0.25">
      <c r="A5" s="2" t="s">
        <v>3</v>
      </c>
      <c r="B5" s="4">
        <v>547550</v>
      </c>
      <c r="C5" s="4">
        <v>478354</v>
      </c>
      <c r="D5" s="3">
        <f>C5/B5*100</f>
        <v>87.362615286275229</v>
      </c>
      <c r="E5" s="4">
        <v>550118</v>
      </c>
      <c r="F5" s="4">
        <v>495100</v>
      </c>
      <c r="G5" s="3">
        <f>F5/E5*100</f>
        <v>89.998872969072082</v>
      </c>
      <c r="H5" s="4">
        <v>540462</v>
      </c>
      <c r="I5" s="4">
        <v>534550</v>
      </c>
      <c r="J5" s="3">
        <f>I5/H5*100</f>
        <v>98.906121059389932</v>
      </c>
      <c r="K5" s="4">
        <v>494550</v>
      </c>
      <c r="L5" s="4">
        <v>490362</v>
      </c>
      <c r="M5" s="3">
        <f>L5/K5*100</f>
        <v>99.153169548074004</v>
      </c>
    </row>
    <row r="6" spans="1:13" x14ac:dyDescent="0.25">
      <c r="A6" s="2" t="s">
        <v>8</v>
      </c>
      <c r="B6" s="4">
        <v>555935</v>
      </c>
      <c r="C6" s="4">
        <v>497270</v>
      </c>
      <c r="D6" s="3">
        <f t="shared" ref="D6:D18" si="0">C6/B6*100</f>
        <v>89.447507352478254</v>
      </c>
      <c r="E6" s="4">
        <v>566695</v>
      </c>
      <c r="F6" s="4">
        <v>522548</v>
      </c>
      <c r="G6" s="3">
        <f t="shared" ref="G6:G18" si="1">F6/E6*100</f>
        <v>92.209742454053767</v>
      </c>
      <c r="H6" s="4">
        <v>569849</v>
      </c>
      <c r="I6" s="4">
        <v>541862</v>
      </c>
      <c r="J6" s="3">
        <f t="shared" ref="J6:J18" si="2">I6/H6*100</f>
        <v>95.088698936033936</v>
      </c>
      <c r="K6" s="4">
        <v>533437</v>
      </c>
      <c r="L6" s="4">
        <v>529558</v>
      </c>
      <c r="M6" s="3">
        <f t="shared" ref="M6:M18" si="3">L6/K6*100</f>
        <v>99.272828843893464</v>
      </c>
    </row>
    <row r="7" spans="1:13" x14ac:dyDescent="0.25">
      <c r="A7" s="2" t="s">
        <v>9</v>
      </c>
      <c r="B7" s="4">
        <v>260790</v>
      </c>
      <c r="C7" s="4">
        <v>229912</v>
      </c>
      <c r="D7" s="3">
        <f t="shared" si="0"/>
        <v>88.159822079067453</v>
      </c>
      <c r="E7" s="4">
        <v>283054</v>
      </c>
      <c r="F7" s="4">
        <v>245815</v>
      </c>
      <c r="G7" s="3">
        <f t="shared" si="1"/>
        <v>86.843853116366489</v>
      </c>
      <c r="H7" s="4">
        <v>281334</v>
      </c>
      <c r="I7" s="4">
        <v>254901</v>
      </c>
      <c r="J7" s="3">
        <f t="shared" si="2"/>
        <v>90.60440615069632</v>
      </c>
      <c r="K7" s="4">
        <v>257291</v>
      </c>
      <c r="L7" s="4">
        <v>246120</v>
      </c>
      <c r="M7" s="3">
        <f t="shared" si="3"/>
        <v>95.658223567866727</v>
      </c>
    </row>
    <row r="8" spans="1:13" x14ac:dyDescent="0.25">
      <c r="A8" s="2" t="s">
        <v>2</v>
      </c>
      <c r="B8" s="4">
        <v>167876</v>
      </c>
      <c r="C8" s="4">
        <v>115213</v>
      </c>
      <c r="D8" s="3">
        <f t="shared" si="0"/>
        <v>68.629822011484663</v>
      </c>
      <c r="E8" s="4">
        <v>178664</v>
      </c>
      <c r="F8" s="4">
        <v>137595</v>
      </c>
      <c r="G8" s="3">
        <f t="shared" si="1"/>
        <v>77.013276317556972</v>
      </c>
      <c r="H8" s="4">
        <v>192358</v>
      </c>
      <c r="I8" s="4">
        <v>163480</v>
      </c>
      <c r="J8" s="3">
        <f t="shared" si="2"/>
        <v>84.987367304713089</v>
      </c>
      <c r="K8" s="4">
        <v>203455</v>
      </c>
      <c r="L8" s="4">
        <v>184409</v>
      </c>
      <c r="M8" s="3">
        <f t="shared" si="3"/>
        <v>90.638716178024623</v>
      </c>
    </row>
    <row r="9" spans="1:13" x14ac:dyDescent="0.25">
      <c r="A9" s="2" t="s">
        <v>10</v>
      </c>
      <c r="B9" s="4">
        <v>1230</v>
      </c>
      <c r="C9" s="4">
        <v>1701</v>
      </c>
      <c r="D9" s="3">
        <f t="shared" si="0"/>
        <v>138.29268292682926</v>
      </c>
      <c r="E9" s="4">
        <v>1231</v>
      </c>
      <c r="F9" s="4">
        <v>1999</v>
      </c>
      <c r="G9" s="3">
        <f t="shared" si="1"/>
        <v>162.38830219333875</v>
      </c>
      <c r="H9" s="4">
        <v>1361</v>
      </c>
      <c r="I9" s="4">
        <v>2474</v>
      </c>
      <c r="J9" s="3">
        <f t="shared" si="2"/>
        <v>181.77810433504774</v>
      </c>
      <c r="K9" s="4">
        <v>2425</v>
      </c>
      <c r="L9" s="4">
        <v>2299</v>
      </c>
      <c r="M9" s="3">
        <f t="shared" si="3"/>
        <v>94.80412371134021</v>
      </c>
    </row>
    <row r="10" spans="1:13" x14ac:dyDescent="0.25">
      <c r="A10" s="2" t="s">
        <v>11</v>
      </c>
      <c r="B10" s="4">
        <v>1401720</v>
      </c>
      <c r="C10" s="4">
        <v>1344337</v>
      </c>
      <c r="D10" s="3">
        <f t="shared" si="0"/>
        <v>95.906243757669145</v>
      </c>
      <c r="E10" s="4">
        <v>1358831</v>
      </c>
      <c r="F10" s="4">
        <v>1383523</v>
      </c>
      <c r="G10" s="3">
        <f t="shared" si="1"/>
        <v>101.81715018276741</v>
      </c>
      <c r="H10" s="4">
        <v>1399929</v>
      </c>
      <c r="I10" s="4">
        <v>1411416</v>
      </c>
      <c r="J10" s="3">
        <f t="shared" si="2"/>
        <v>100.82054161318182</v>
      </c>
      <c r="K10" s="4">
        <v>1405622</v>
      </c>
      <c r="L10" s="4">
        <v>1397236</v>
      </c>
      <c r="M10" s="3">
        <f t="shared" si="3"/>
        <v>99.403395792040811</v>
      </c>
    </row>
    <row r="11" spans="1:13" x14ac:dyDescent="0.25">
      <c r="A11" s="2" t="s">
        <v>12</v>
      </c>
      <c r="B11" s="4">
        <v>524812</v>
      </c>
      <c r="C11" s="4">
        <v>491928</v>
      </c>
      <c r="D11" s="3">
        <f t="shared" si="0"/>
        <v>93.734137176741385</v>
      </c>
      <c r="E11" s="4">
        <v>562376</v>
      </c>
      <c r="F11" s="4">
        <v>530612</v>
      </c>
      <c r="G11" s="3">
        <f t="shared" si="1"/>
        <v>94.351821557107698</v>
      </c>
      <c r="H11" s="4">
        <v>562375</v>
      </c>
      <c r="I11" s="4">
        <v>541310</v>
      </c>
      <c r="J11" s="3">
        <f t="shared" si="2"/>
        <v>96.254278728606351</v>
      </c>
      <c r="K11" s="4">
        <v>539569</v>
      </c>
      <c r="L11" s="4">
        <v>522697</v>
      </c>
      <c r="M11" s="3">
        <f t="shared" si="3"/>
        <v>96.87305979402079</v>
      </c>
    </row>
    <row r="12" spans="1:13" x14ac:dyDescent="0.25">
      <c r="A12" s="2" t="s">
        <v>1</v>
      </c>
      <c r="B12" s="4">
        <v>103673</v>
      </c>
      <c r="C12" s="4">
        <v>69516</v>
      </c>
      <c r="D12" s="3">
        <f t="shared" si="0"/>
        <v>67.05313823271247</v>
      </c>
      <c r="E12" s="4">
        <v>118710</v>
      </c>
      <c r="F12" s="4">
        <v>89491</v>
      </c>
      <c r="G12" s="3">
        <f t="shared" si="1"/>
        <v>75.386235363490854</v>
      </c>
      <c r="H12" s="4">
        <v>120962</v>
      </c>
      <c r="I12" s="4">
        <v>104329</v>
      </c>
      <c r="J12" s="3">
        <f t="shared" si="2"/>
        <v>86.249400638216954</v>
      </c>
      <c r="K12" s="4">
        <v>124669</v>
      </c>
      <c r="L12" s="4">
        <v>114006</v>
      </c>
      <c r="M12" s="3">
        <f t="shared" si="3"/>
        <v>91.446951527645197</v>
      </c>
    </row>
    <row r="13" spans="1:13" x14ac:dyDescent="0.25">
      <c r="A13" s="2" t="s">
        <v>13</v>
      </c>
      <c r="B13" s="4">
        <v>1585</v>
      </c>
      <c r="C13" s="4">
        <v>2152</v>
      </c>
      <c r="D13" s="3">
        <f t="shared" si="0"/>
        <v>135.77287066246058</v>
      </c>
      <c r="E13" s="4">
        <v>1411</v>
      </c>
      <c r="F13" s="4">
        <v>2278</v>
      </c>
      <c r="G13" s="3">
        <f t="shared" si="1"/>
        <v>161.44578313253012</v>
      </c>
      <c r="H13" s="4">
        <v>1519</v>
      </c>
      <c r="I13" s="4">
        <v>2632</v>
      </c>
      <c r="J13" s="3">
        <f t="shared" si="2"/>
        <v>173.27188940092165</v>
      </c>
      <c r="K13" s="4">
        <v>2798</v>
      </c>
      <c r="L13" s="4">
        <v>2610</v>
      </c>
      <c r="M13" s="3">
        <f t="shared" si="3"/>
        <v>93.280914939242322</v>
      </c>
    </row>
    <row r="14" spans="1:13" x14ac:dyDescent="0.25">
      <c r="A14" s="2" t="s">
        <v>14</v>
      </c>
      <c r="B14" s="4">
        <v>3039690</v>
      </c>
      <c r="C14" s="4">
        <v>2953363</v>
      </c>
      <c r="D14" s="3">
        <f t="shared" si="0"/>
        <v>97.160006448025953</v>
      </c>
      <c r="E14" s="4">
        <v>3011216</v>
      </c>
      <c r="F14" s="4">
        <v>2952442</v>
      </c>
      <c r="G14" s="3">
        <f t="shared" si="1"/>
        <v>98.048163931116207</v>
      </c>
      <c r="H14" s="4">
        <v>2927243</v>
      </c>
      <c r="I14" s="4">
        <v>2935541</v>
      </c>
      <c r="J14" s="3">
        <f t="shared" si="2"/>
        <v>100.28347492845657</v>
      </c>
      <c r="K14" s="4">
        <v>2875563</v>
      </c>
      <c r="L14" s="4">
        <v>2865290</v>
      </c>
      <c r="M14" s="3">
        <f t="shared" si="3"/>
        <v>99.642748220087682</v>
      </c>
    </row>
    <row r="15" spans="1:13" x14ac:dyDescent="0.25">
      <c r="A15" s="2" t="s">
        <v>15</v>
      </c>
      <c r="B15" s="4">
        <v>448486</v>
      </c>
      <c r="C15" s="4">
        <v>418539</v>
      </c>
      <c r="D15" s="3">
        <f t="shared" si="0"/>
        <v>93.322645522937179</v>
      </c>
      <c r="E15" s="4">
        <v>474536</v>
      </c>
      <c r="F15" s="4">
        <v>464404</v>
      </c>
      <c r="G15" s="3">
        <f t="shared" si="1"/>
        <v>97.864861675405024</v>
      </c>
      <c r="H15" s="4">
        <v>484292</v>
      </c>
      <c r="I15" s="4">
        <v>461746</v>
      </c>
      <c r="J15" s="3">
        <f t="shared" si="2"/>
        <v>95.344544200606236</v>
      </c>
      <c r="K15" s="4">
        <v>485619</v>
      </c>
      <c r="L15" s="4">
        <v>465354</v>
      </c>
      <c r="M15" s="3">
        <f t="shared" si="3"/>
        <v>95.826975468422773</v>
      </c>
    </row>
    <row r="16" spans="1:13" x14ac:dyDescent="0.25">
      <c r="A16" s="2" t="s">
        <v>0</v>
      </c>
      <c r="B16" s="4">
        <v>23645</v>
      </c>
      <c r="C16" s="4">
        <v>12826</v>
      </c>
      <c r="D16" s="3">
        <f t="shared" si="0"/>
        <v>54.244026221188413</v>
      </c>
      <c r="E16" s="4">
        <v>22529</v>
      </c>
      <c r="F16" s="4">
        <v>14937</v>
      </c>
      <c r="G16" s="3">
        <f t="shared" si="1"/>
        <v>66.301211771494522</v>
      </c>
      <c r="H16" s="4">
        <v>23231</v>
      </c>
      <c r="I16" s="4">
        <v>19077</v>
      </c>
      <c r="J16" s="3">
        <f t="shared" si="2"/>
        <v>82.118720674960173</v>
      </c>
      <c r="K16" s="4">
        <v>23301</v>
      </c>
      <c r="L16" s="4">
        <v>20303</v>
      </c>
      <c r="M16" s="3">
        <f t="shared" si="3"/>
        <v>87.133599416334064</v>
      </c>
    </row>
    <row r="17" spans="1:13" x14ac:dyDescent="0.25">
      <c r="A17" s="2" t="s">
        <v>16</v>
      </c>
      <c r="B17" s="4">
        <v>1722</v>
      </c>
      <c r="C17" s="4">
        <v>2136</v>
      </c>
      <c r="D17" s="3">
        <f t="shared" si="0"/>
        <v>124.0418118466899</v>
      </c>
      <c r="E17" s="4">
        <v>1477</v>
      </c>
      <c r="F17" s="4">
        <v>2306</v>
      </c>
      <c r="G17" s="3">
        <f t="shared" si="1"/>
        <v>156.12728503723764</v>
      </c>
      <c r="H17" s="4">
        <v>1683</v>
      </c>
      <c r="I17" s="4">
        <v>2903</v>
      </c>
      <c r="J17" s="3">
        <f t="shared" si="2"/>
        <v>172.48960190136663</v>
      </c>
      <c r="K17" s="4">
        <v>2259</v>
      </c>
      <c r="L17" s="4">
        <v>2048</v>
      </c>
      <c r="M17" s="3">
        <f t="shared" si="3"/>
        <v>90.65958388667552</v>
      </c>
    </row>
    <row r="18" spans="1:13" x14ac:dyDescent="0.25">
      <c r="A18" s="6" t="s">
        <v>17</v>
      </c>
      <c r="B18" s="8">
        <v>7078714</v>
      </c>
      <c r="C18" s="8">
        <v>6617247</v>
      </c>
      <c r="D18" s="7">
        <f t="shared" si="0"/>
        <v>93.480920404468947</v>
      </c>
      <c r="E18" s="8">
        <v>7130848</v>
      </c>
      <c r="F18" s="8">
        <v>6843050</v>
      </c>
      <c r="G18" s="7">
        <f t="shared" si="1"/>
        <v>95.964042425248721</v>
      </c>
      <c r="H18" s="8">
        <v>7106598</v>
      </c>
      <c r="I18" s="8">
        <v>6976221</v>
      </c>
      <c r="J18" s="7">
        <f t="shared" si="2"/>
        <v>98.165409102920975</v>
      </c>
      <c r="K18" s="8">
        <f>SUM(K5:K17)</f>
        <v>6950558</v>
      </c>
      <c r="L18" s="8">
        <f>SUM(L5:L17)</f>
        <v>6842292</v>
      </c>
      <c r="M18" s="7">
        <f t="shared" si="3"/>
        <v>98.442340888314291</v>
      </c>
    </row>
  </sheetData>
  <mergeCells count="5">
    <mergeCell ref="A3:A4"/>
    <mergeCell ref="B3:D3"/>
    <mergeCell ref="E3:G3"/>
    <mergeCell ref="H3:J3"/>
    <mergeCell ref="K3:M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A72E-43F2-4BA9-9E66-99EECE130029}">
  <dimension ref="A3:B17"/>
  <sheetViews>
    <sheetView workbookViewId="0">
      <selection activeCell="B24" sqref="B24"/>
    </sheetView>
  </sheetViews>
  <sheetFormatPr defaultRowHeight="15" x14ac:dyDescent="0.25"/>
  <cols>
    <col min="1" max="1" width="29.7109375" customWidth="1"/>
    <col min="2" max="2" width="75.5703125" customWidth="1"/>
  </cols>
  <sheetData>
    <row r="3" spans="1:2" x14ac:dyDescent="0.25">
      <c r="A3" s="18" t="s">
        <v>22</v>
      </c>
      <c r="B3" s="19"/>
    </row>
    <row r="4" spans="1:2" ht="31.5" customHeight="1" x14ac:dyDescent="0.25">
      <c r="A4" s="10" t="s">
        <v>23</v>
      </c>
      <c r="B4" s="11" t="s">
        <v>45</v>
      </c>
    </row>
    <row r="5" spans="1:2" ht="102" x14ac:dyDescent="0.25">
      <c r="A5" s="12" t="s">
        <v>24</v>
      </c>
      <c r="B5" s="13" t="s">
        <v>38</v>
      </c>
    </row>
    <row r="6" spans="1:2" x14ac:dyDescent="0.25">
      <c r="A6" s="12" t="s">
        <v>25</v>
      </c>
      <c r="B6" s="13" t="s">
        <v>46</v>
      </c>
    </row>
    <row r="7" spans="1:2" x14ac:dyDescent="0.25">
      <c r="A7" s="12" t="s">
        <v>26</v>
      </c>
      <c r="B7" s="13" t="s">
        <v>27</v>
      </c>
    </row>
    <row r="8" spans="1:2" ht="25.5" x14ac:dyDescent="0.25">
      <c r="A8" s="12" t="s">
        <v>28</v>
      </c>
      <c r="B8" s="13" t="s">
        <v>44</v>
      </c>
    </row>
    <row r="9" spans="1:2" x14ac:dyDescent="0.25">
      <c r="A9" s="12" t="s">
        <v>29</v>
      </c>
      <c r="B9" s="14" t="s">
        <v>30</v>
      </c>
    </row>
    <row r="10" spans="1:2" x14ac:dyDescent="0.25">
      <c r="A10" s="12" t="s">
        <v>31</v>
      </c>
      <c r="B10" s="14" t="s">
        <v>39</v>
      </c>
    </row>
    <row r="11" spans="1:2" x14ac:dyDescent="0.25">
      <c r="A11" s="12" t="s">
        <v>32</v>
      </c>
      <c r="B11" s="14" t="s">
        <v>40</v>
      </c>
    </row>
    <row r="12" spans="1:2" x14ac:dyDescent="0.25">
      <c r="A12" s="12" t="s">
        <v>33</v>
      </c>
      <c r="B12" s="14" t="s">
        <v>34</v>
      </c>
    </row>
    <row r="13" spans="1:2" x14ac:dyDescent="0.25">
      <c r="A13" s="20" t="s">
        <v>35</v>
      </c>
      <c r="B13" s="12" t="s">
        <v>36</v>
      </c>
    </row>
    <row r="14" spans="1:2" x14ac:dyDescent="0.25">
      <c r="A14" s="21"/>
      <c r="B14" s="12" t="s">
        <v>43</v>
      </c>
    </row>
    <row r="15" spans="1:2" x14ac:dyDescent="0.25">
      <c r="A15" s="21"/>
      <c r="B15" s="12" t="s">
        <v>41</v>
      </c>
    </row>
    <row r="16" spans="1:2" x14ac:dyDescent="0.25">
      <c r="A16" s="22"/>
      <c r="B16" s="12" t="s">
        <v>42</v>
      </c>
    </row>
    <row r="17" spans="1:2" x14ac:dyDescent="0.25">
      <c r="A17" s="15" t="s">
        <v>37</v>
      </c>
      <c r="B17" s="12" t="s">
        <v>21</v>
      </c>
    </row>
  </sheetData>
  <mergeCells count="2">
    <mergeCell ref="A3:B3"/>
    <mergeCell ref="A13:A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Banan Nabila</cp:lastModifiedBy>
  <dcterms:created xsi:type="dcterms:W3CDTF">2024-12-29T13:07:36Z</dcterms:created>
  <dcterms:modified xsi:type="dcterms:W3CDTF">2025-01-24T06:25:18Z</dcterms:modified>
  <cp:category/>
</cp:coreProperties>
</file>