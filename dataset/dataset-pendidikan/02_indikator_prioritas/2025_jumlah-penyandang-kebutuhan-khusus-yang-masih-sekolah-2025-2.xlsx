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B56A60D5-83B2-49AC-B8B6-219358C401D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jHDa9Wpw675DDujOPqkWxv4A57tsJiIqLxnAj4PM58="/>
    </ext>
  </extLst>
</workbook>
</file>

<file path=xl/calcChain.xml><?xml version="1.0" encoding="utf-8"?>
<calcChain xmlns="http://schemas.openxmlformats.org/spreadsheetml/2006/main">
  <c r="V45" i="1" l="1"/>
  <c r="W45" i="1"/>
  <c r="X45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/>
  <c r="X43" i="1"/>
  <c r="V44" i="1"/>
  <c r="W44" i="1"/>
  <c r="X44" i="1"/>
  <c r="W6" i="1"/>
  <c r="X6" i="1"/>
  <c r="V6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</calcChain>
</file>

<file path=xl/sharedStrings.xml><?xml version="1.0" encoding="utf-8"?>
<sst xmlns="http://schemas.openxmlformats.org/spreadsheetml/2006/main" count="100" uniqueCount="78">
  <si>
    <t>No</t>
  </si>
  <si>
    <t>Kode Wilayah</t>
  </si>
  <si>
    <t>Wilayah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</si>
  <si>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</si>
  <si>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</si>
  <si>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</si>
  <si>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</si>
  <si>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</si>
  <si>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</si>
  <si>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</si>
  <si>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</si>
  <si>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</si>
  <si>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</si>
  <si>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</si>
  <si>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</si>
  <si>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</si>
  <si>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</si>
  <si>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</si>
  <si>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</si>
  <si>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</si>
  <si>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</si>
  <si>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</si>
  <si>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</si>
  <si>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</si>
  <si>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</si>
  <si>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</si>
  <si>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</si>
  <si>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</si>
  <si>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</si>
  <si>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</si>
  <si>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</si>
  <si>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</si>
  <si>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</si>
  <si>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</si>
  <si>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</si>
  <si>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</si>
  <si>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</si>
  <si>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</si>
  <si>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</si>
  <si>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</si>
  <si>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</si>
  <si>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</si>
  <si>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</si>
  <si>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</si>
  <si>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</si>
  <si>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</si>
  <si>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</si>
  <si>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</si>
  <si>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</si>
  <si>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</si>
  <si>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</si>
  <si>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</si>
  <si>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</si>
  <si>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</si>
  <si>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</si>
  <si>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</si>
  <si>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</si>
  <si>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</si>
  <si>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</si>
  <si>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</si>
  <si>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Satuan</t>
  </si>
  <si>
    <t>Organisasi penanggung jawab</t>
  </si>
  <si>
    <t>Konsep</t>
  </si>
  <si>
    <t>Klasifikasi Penyajian</t>
  </si>
  <si>
    <t>Bentuk Satuan Pendidikan</t>
  </si>
  <si>
    <t>Status Satuan Pendidikan</t>
  </si>
  <si>
    <t>Kementerian Pendidikan Dasar dan Menengah</t>
  </si>
  <si>
    <t>Sekolah Inklusi</t>
  </si>
  <si>
    <t>Jumlah Penyandang Kebutuhan Khusus yang Masih Sekolah, Tahun Ajaran 2025/2026</t>
  </si>
  <si>
    <t>Dasar Perencanaan</t>
  </si>
  <si>
    <t>Semakin tinggi jumlah, semakin banyak penduduk penyandang disabilitas (kebutuhaan khusus) yang bersekolah di suatu wilayah dan waktu tertentu.</t>
  </si>
  <si>
    <t>Orang</t>
  </si>
  <si>
    <t>Peserta Didik</t>
  </si>
  <si>
    <t>Penyandang Kebutuhan Khusus</t>
  </si>
  <si>
    <t>Banyaknya peserta didik penyandang disabilitas (kebutuhan khusus) yang bersekolah baik di satuan pendidikan inklusi maupun di Sekolah Luar Biasa (SLB).</t>
  </si>
  <si>
    <t>Sekolah Inklusi + Sekolah Luar Biasa (SLB)</t>
  </si>
  <si>
    <t>-</t>
  </si>
  <si>
    <t>Penjumlahan peserta didik penyandang disabilitas (kebutuhan khusus) yang bersekolah di satuan pendidikan inklusi maupun SLB di suatu wilayah dan waku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</si>
</sst>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3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41" fontId="5" fillId="0" borderId="5" xfId="0" applyNumberFormat="1" applyFont="1" applyBorder="1"/>
    <xf numFmtId="0" fontId="9" fillId="0" borderId="0" xfId="0" applyFont="1"/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10" fillId="0" borderId="6" xfId="0" quotePrefix="1" applyFont="1" applyBorder="1" applyAlignment="1">
      <alignment wrapText="1"/>
    </xf>
    <xf numFmtId="0" fontId="6" fillId="0" borderId="6" xfId="0" applyFont="1" applyBorder="1" applyAlignment="1">
      <alignment wrapText="1"/>
    </xf>
    <xf numFmtId="3" fontId="2" fillId="3" borderId="6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3" fontId="2" fillId="3" borderId="14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3" fillId="0" borderId="3" xfId="0" applyFont="1" applyBorder="1"/>
    <xf numFmtId="3" fontId="2" fillId="3" borderId="11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/>
    <xf numFmtId="0" fontId="3" fillId="4" borderId="12" xfId="0" applyFont="1" applyFill="1" applyBorder="1"/>
    <xf numFmtId="3" fontId="2" fillId="3" borderId="11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/>
    <xf numFmtId="0" fontId="3" fillId="4" borderId="5" xfId="0" applyFont="1" applyFill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4"/>
  <sheetViews>
    <sheetView workbookViewId="0">
      <selection activeCell="A45" sqref="A45:B45"/>
    </sheetView>
  </sheetViews>
  <sheetFormatPr defaultColWidth="14.42578125" defaultRowHeight="15" customHeight="1"/>
  <cols>
    <col min="1" max="2" width="8.7109375" customWidth="1"/>
    <col min="3" max="3" width="24.140625" customWidth="1"/>
    <col min="4" max="39" width="8.7109375" customWidth="1"/>
  </cols>
  <sheetData>
    <row r="1" spans="1:24" ht="14.25" customHeight="1">
      <c r="A1" s="9" t="s">
        <v>68</v>
      </c>
    </row>
    <row r="2" spans="1:24" ht="14.25" customHeight="1"/>
    <row r="3" spans="1:24" ht="18.75" customHeight="1">
      <c r="A3" s="28" t="s">
        <v>0</v>
      </c>
      <c r="B3" s="31" t="s">
        <v>1</v>
      </c>
      <c r="C3" s="28" t="s">
        <v>2</v>
      </c>
      <c r="D3" s="27" t="s">
        <v>67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 t="s">
        <v>8</v>
      </c>
      <c r="T3" s="27"/>
      <c r="U3" s="27"/>
      <c r="V3" s="18" t="s">
        <v>75</v>
      </c>
      <c r="W3" s="18"/>
      <c r="X3" s="18"/>
    </row>
    <row r="4" spans="1:24" ht="28.5" customHeight="1">
      <c r="A4" s="29"/>
      <c r="B4" s="31"/>
      <c r="C4" s="29"/>
      <c r="D4" s="26" t="s">
        <v>3</v>
      </c>
      <c r="E4" s="24"/>
      <c r="F4" s="25"/>
      <c r="G4" s="26" t="s">
        <v>4</v>
      </c>
      <c r="H4" s="24"/>
      <c r="I4" s="25"/>
      <c r="J4" s="23" t="s">
        <v>5</v>
      </c>
      <c r="K4" s="24"/>
      <c r="L4" s="25"/>
      <c r="M4" s="23" t="s">
        <v>6</v>
      </c>
      <c r="N4" s="24"/>
      <c r="O4" s="25"/>
      <c r="P4" s="23" t="s">
        <v>7</v>
      </c>
      <c r="Q4" s="24"/>
      <c r="R4" s="25"/>
      <c r="S4" s="26" t="s">
        <v>8</v>
      </c>
      <c r="T4" s="24"/>
      <c r="U4" s="25"/>
      <c r="V4" s="19"/>
      <c r="W4" s="19"/>
      <c r="X4" s="20"/>
    </row>
    <row r="5" spans="1:24" ht="14.25" customHeight="1">
      <c r="A5" s="30"/>
      <c r="B5" s="31"/>
      <c r="C5" s="30"/>
      <c r="D5" s="14" t="s">
        <v>9</v>
      </c>
      <c r="E5" s="14" t="s">
        <v>10</v>
      </c>
      <c r="F5" s="14" t="s">
        <v>11</v>
      </c>
      <c r="G5" s="14" t="s">
        <v>9</v>
      </c>
      <c r="H5" s="14" t="s">
        <v>10</v>
      </c>
      <c r="I5" s="14" t="s">
        <v>11</v>
      </c>
      <c r="J5" s="14" t="s">
        <v>9</v>
      </c>
      <c r="K5" s="14" t="s">
        <v>10</v>
      </c>
      <c r="L5" s="14" t="s">
        <v>11</v>
      </c>
      <c r="M5" s="14" t="s">
        <v>9</v>
      </c>
      <c r="N5" s="14" t="s">
        <v>10</v>
      </c>
      <c r="O5" s="14" t="s">
        <v>11</v>
      </c>
      <c r="P5" s="14" t="s">
        <v>9</v>
      </c>
      <c r="Q5" s="14" t="s">
        <v>10</v>
      </c>
      <c r="R5" s="14" t="s">
        <v>11</v>
      </c>
      <c r="S5" s="14" t="s">
        <v>9</v>
      </c>
      <c r="T5" s="14" t="s">
        <v>10</v>
      </c>
      <c r="U5" s="14" t="s">
        <v>11</v>
      </c>
      <c r="V5" s="14" t="s">
        <v>9</v>
      </c>
      <c r="W5" s="16" t="s">
        <v>10</v>
      </c>
      <c r="X5" s="17" t="s">
        <v>11</v>
      </c>
    </row>
    <row r="6" spans="1:24" ht="14.25" customHeight="1">
      <c r="A6" s="1">
        <v>1</v>
      </c>
      <c r="B6" s="15">
        <v>11</v>
      </c>
      <c r="C6" s="3" t="s">
        <v>17</v>
      </c>
      <c r="D6" s="8">
        <v>93</v>
      </c>
      <c r="E6" s="8">
        <v>410</v>
      </c>
      <c r="F6" s="8">
        <v>503</v>
      </c>
      <c r="G6" s="8">
        <v>2231</v>
      </c>
      <c r="H6" s="8">
        <v>240</v>
      </c>
      <c r="I6" s="8">
        <v>2471</v>
      </c>
      <c r="J6" s="8">
        <v>886</v>
      </c>
      <c r="K6" s="8">
        <v>121</v>
      </c>
      <c r="L6" s="8">
        <v>1007</v>
      </c>
      <c r="M6" s="8">
        <v>253</v>
      </c>
      <c r="N6" s="8">
        <v>51</v>
      </c>
      <c r="O6" s="8">
        <v>304</v>
      </c>
      <c r="P6" s="8">
        <v>103</v>
      </c>
      <c r="Q6" s="8">
        <v>23</v>
      </c>
      <c r="R6" s="8">
        <v>126</v>
      </c>
      <c r="S6" s="8">
        <v>3091</v>
      </c>
      <c r="T6" s="8">
        <v>2035</v>
      </c>
      <c r="U6" s="8">
        <v>5126</v>
      </c>
      <c r="V6" s="8">
        <f>D6+G6+J6+M6+P6+S6</f>
        <v>6657</v>
      </c>
      <c r="W6" s="8">
        <f t="shared" ref="W6:X6" si="0">E6+H6+K6+N6+Q6+T6</f>
        <v>2880</v>
      </c>
      <c r="X6" s="8">
        <f t="shared" si="0"/>
        <v>9537</v>
      </c>
    </row>
    <row r="7" spans="1:24" ht="14.25" customHeight="1">
      <c r="A7" s="1">
        <v>2</v>
      </c>
      <c r="B7" s="2">
        <v>12</v>
      </c>
      <c r="C7" s="3" t="s">
        <v>18</v>
      </c>
      <c r="D7" s="8">
        <v>38</v>
      </c>
      <c r="E7" s="8">
        <v>633</v>
      </c>
      <c r="F7" s="8">
        <v>671</v>
      </c>
      <c r="G7" s="8">
        <v>2097</v>
      </c>
      <c r="H7" s="8">
        <v>870</v>
      </c>
      <c r="I7" s="8">
        <v>2967</v>
      </c>
      <c r="J7" s="8">
        <v>403</v>
      </c>
      <c r="K7" s="8">
        <v>270</v>
      </c>
      <c r="L7" s="8">
        <v>673</v>
      </c>
      <c r="M7" s="8">
        <v>116</v>
      </c>
      <c r="N7" s="8">
        <v>116</v>
      </c>
      <c r="O7" s="8">
        <v>232</v>
      </c>
      <c r="P7" s="8">
        <v>98</v>
      </c>
      <c r="Q7" s="8">
        <v>89</v>
      </c>
      <c r="R7" s="8">
        <v>187</v>
      </c>
      <c r="S7" s="8">
        <v>3185</v>
      </c>
      <c r="T7" s="8">
        <v>2419</v>
      </c>
      <c r="U7" s="8">
        <v>5604</v>
      </c>
      <c r="V7" s="8">
        <f t="shared" ref="V7:V44" si="1">D7+G7+J7+M7+P7+S7</f>
        <v>5937</v>
      </c>
      <c r="W7" s="8">
        <f t="shared" ref="W7:W45" si="2">E7+H7+K7+N7+Q7+T7</f>
        <v>4397</v>
      </c>
      <c r="X7" s="8">
        <f t="shared" ref="X7:X45" si="3">F7+I7+L7+O7+R7+U7</f>
        <v>10334</v>
      </c>
    </row>
    <row r="8" spans="1:24" ht="14.25" customHeight="1">
      <c r="A8" s="1">
        <v>3</v>
      </c>
      <c r="B8" s="2">
        <v>13</v>
      </c>
      <c r="C8" s="3" t="s">
        <v>19</v>
      </c>
      <c r="D8" s="8">
        <v>31</v>
      </c>
      <c r="E8" s="8">
        <v>261</v>
      </c>
      <c r="F8" s="8">
        <v>292</v>
      </c>
      <c r="G8" s="8">
        <v>2846</v>
      </c>
      <c r="H8" s="8">
        <v>537</v>
      </c>
      <c r="I8" s="8">
        <v>3383</v>
      </c>
      <c r="J8" s="8">
        <v>1498</v>
      </c>
      <c r="K8" s="8">
        <v>233</v>
      </c>
      <c r="L8" s="8">
        <v>1731</v>
      </c>
      <c r="M8" s="8">
        <v>362</v>
      </c>
      <c r="N8" s="8">
        <v>91</v>
      </c>
      <c r="O8" s="8">
        <v>453</v>
      </c>
      <c r="P8" s="8">
        <v>271</v>
      </c>
      <c r="Q8" s="8">
        <v>44</v>
      </c>
      <c r="R8" s="8">
        <v>315</v>
      </c>
      <c r="S8" s="8">
        <v>2327</v>
      </c>
      <c r="T8" s="8">
        <v>4922</v>
      </c>
      <c r="U8" s="8">
        <v>7249</v>
      </c>
      <c r="V8" s="8">
        <f t="shared" si="1"/>
        <v>7335</v>
      </c>
      <c r="W8" s="8">
        <f t="shared" si="2"/>
        <v>6088</v>
      </c>
      <c r="X8" s="8">
        <f t="shared" si="3"/>
        <v>13423</v>
      </c>
    </row>
    <row r="9" spans="1:24" ht="14.25" customHeight="1">
      <c r="A9" s="1">
        <v>4</v>
      </c>
      <c r="B9" s="2">
        <v>14</v>
      </c>
      <c r="C9" s="3" t="s">
        <v>20</v>
      </c>
      <c r="D9" s="8">
        <v>44</v>
      </c>
      <c r="E9" s="8">
        <v>488</v>
      </c>
      <c r="F9" s="8">
        <v>532</v>
      </c>
      <c r="G9" s="8">
        <v>1833</v>
      </c>
      <c r="H9" s="8">
        <v>573</v>
      </c>
      <c r="I9" s="8">
        <v>2406</v>
      </c>
      <c r="J9" s="8">
        <v>631</v>
      </c>
      <c r="K9" s="8">
        <v>215</v>
      </c>
      <c r="L9" s="8">
        <v>846</v>
      </c>
      <c r="M9" s="8">
        <v>259</v>
      </c>
      <c r="N9" s="8">
        <v>63</v>
      </c>
      <c r="O9" s="8">
        <v>322</v>
      </c>
      <c r="P9" s="8">
        <v>89</v>
      </c>
      <c r="Q9" s="8">
        <v>53</v>
      </c>
      <c r="R9" s="8">
        <v>142</v>
      </c>
      <c r="S9" s="8">
        <v>2050</v>
      </c>
      <c r="T9" s="8">
        <v>1845</v>
      </c>
      <c r="U9" s="8">
        <v>3895</v>
      </c>
      <c r="V9" s="8">
        <f t="shared" si="1"/>
        <v>4906</v>
      </c>
      <c r="W9" s="8">
        <f t="shared" si="2"/>
        <v>3237</v>
      </c>
      <c r="X9" s="8">
        <f t="shared" si="3"/>
        <v>8143</v>
      </c>
    </row>
    <row r="10" spans="1:24" ht="14.25" customHeight="1">
      <c r="A10" s="1">
        <v>5</v>
      </c>
      <c r="B10" s="2">
        <v>15</v>
      </c>
      <c r="C10" s="3" t="s">
        <v>21</v>
      </c>
      <c r="D10" s="8">
        <v>40</v>
      </c>
      <c r="E10" s="8">
        <v>223</v>
      </c>
      <c r="F10" s="8">
        <v>263</v>
      </c>
      <c r="G10" s="8">
        <v>693</v>
      </c>
      <c r="H10" s="8">
        <v>174</v>
      </c>
      <c r="I10" s="8">
        <v>867</v>
      </c>
      <c r="J10" s="8">
        <v>169</v>
      </c>
      <c r="K10" s="8">
        <v>75</v>
      </c>
      <c r="L10" s="8">
        <v>244</v>
      </c>
      <c r="M10" s="8">
        <v>42</v>
      </c>
      <c r="N10" s="8">
        <v>21</v>
      </c>
      <c r="O10" s="8">
        <v>63</v>
      </c>
      <c r="P10" s="8">
        <v>25</v>
      </c>
      <c r="Q10" s="8">
        <v>16</v>
      </c>
      <c r="R10" s="8">
        <v>41</v>
      </c>
      <c r="S10" s="8">
        <v>2080</v>
      </c>
      <c r="T10" s="8">
        <v>405</v>
      </c>
      <c r="U10" s="8">
        <v>2485</v>
      </c>
      <c r="V10" s="8">
        <f t="shared" si="1"/>
        <v>3049</v>
      </c>
      <c r="W10" s="8">
        <f t="shared" si="2"/>
        <v>914</v>
      </c>
      <c r="X10" s="8">
        <f t="shared" si="3"/>
        <v>3963</v>
      </c>
    </row>
    <row r="11" spans="1:24" ht="14.25" customHeight="1">
      <c r="A11" s="1">
        <v>6</v>
      </c>
      <c r="B11" s="2">
        <v>16</v>
      </c>
      <c r="C11" s="3" t="s">
        <v>22</v>
      </c>
      <c r="D11" s="8">
        <v>39</v>
      </c>
      <c r="E11" s="8">
        <v>524</v>
      </c>
      <c r="F11" s="8">
        <v>563</v>
      </c>
      <c r="G11" s="8">
        <v>2212</v>
      </c>
      <c r="H11" s="8">
        <v>493</v>
      </c>
      <c r="I11" s="8">
        <v>2705</v>
      </c>
      <c r="J11" s="8">
        <v>593</v>
      </c>
      <c r="K11" s="8">
        <v>252</v>
      </c>
      <c r="L11" s="8">
        <v>845</v>
      </c>
      <c r="M11" s="8">
        <v>164</v>
      </c>
      <c r="N11" s="8">
        <v>69</v>
      </c>
      <c r="O11" s="8">
        <v>233</v>
      </c>
      <c r="P11" s="8">
        <v>73</v>
      </c>
      <c r="Q11" s="8">
        <v>57</v>
      </c>
      <c r="R11" s="8">
        <v>130</v>
      </c>
      <c r="S11" s="8">
        <v>1933</v>
      </c>
      <c r="T11" s="8">
        <v>1309</v>
      </c>
      <c r="U11" s="8">
        <v>3242</v>
      </c>
      <c r="V11" s="8">
        <f t="shared" si="1"/>
        <v>5014</v>
      </c>
      <c r="W11" s="8">
        <f t="shared" si="2"/>
        <v>2704</v>
      </c>
      <c r="X11" s="8">
        <f t="shared" si="3"/>
        <v>7718</v>
      </c>
    </row>
    <row r="12" spans="1:24" ht="14.25" customHeight="1">
      <c r="A12" s="1">
        <v>7</v>
      </c>
      <c r="B12" s="2">
        <v>17</v>
      </c>
      <c r="C12" s="3" t="s">
        <v>36</v>
      </c>
      <c r="D12" s="8">
        <v>18</v>
      </c>
      <c r="E12" s="8">
        <v>127</v>
      </c>
      <c r="F12" s="8">
        <v>145</v>
      </c>
      <c r="G12" s="8">
        <v>283</v>
      </c>
      <c r="H12" s="8">
        <v>92</v>
      </c>
      <c r="I12" s="8">
        <v>375</v>
      </c>
      <c r="J12" s="8">
        <v>141</v>
      </c>
      <c r="K12" s="8">
        <v>58</v>
      </c>
      <c r="L12" s="8">
        <v>199</v>
      </c>
      <c r="M12" s="8">
        <v>37</v>
      </c>
      <c r="N12" s="8">
        <v>16</v>
      </c>
      <c r="O12" s="8">
        <v>53</v>
      </c>
      <c r="P12" s="8">
        <v>23</v>
      </c>
      <c r="Q12" s="8">
        <v>13</v>
      </c>
      <c r="R12" s="8">
        <v>36</v>
      </c>
      <c r="S12" s="8">
        <v>1255</v>
      </c>
      <c r="T12" s="8">
        <v>214</v>
      </c>
      <c r="U12" s="8">
        <v>1469</v>
      </c>
      <c r="V12" s="8">
        <f t="shared" si="1"/>
        <v>1757</v>
      </c>
      <c r="W12" s="8">
        <f t="shared" si="2"/>
        <v>520</v>
      </c>
      <c r="X12" s="8">
        <f t="shared" si="3"/>
        <v>2277</v>
      </c>
    </row>
    <row r="13" spans="1:24" ht="14.25" customHeight="1">
      <c r="A13" s="1">
        <v>8</v>
      </c>
      <c r="B13" s="2">
        <v>18</v>
      </c>
      <c r="C13" s="3" t="s">
        <v>23</v>
      </c>
      <c r="D13" s="8">
        <v>41</v>
      </c>
      <c r="E13" s="8">
        <v>562</v>
      </c>
      <c r="F13" s="8">
        <v>603</v>
      </c>
      <c r="G13" s="8">
        <v>1120</v>
      </c>
      <c r="H13" s="8">
        <v>329</v>
      </c>
      <c r="I13" s="8">
        <v>1449</v>
      </c>
      <c r="J13" s="8">
        <v>294</v>
      </c>
      <c r="K13" s="8">
        <v>201</v>
      </c>
      <c r="L13" s="8">
        <v>495</v>
      </c>
      <c r="M13" s="8">
        <v>89</v>
      </c>
      <c r="N13" s="8">
        <v>51</v>
      </c>
      <c r="O13" s="8">
        <v>140</v>
      </c>
      <c r="P13" s="8">
        <v>49</v>
      </c>
      <c r="Q13" s="8">
        <v>63</v>
      </c>
      <c r="R13" s="8">
        <v>112</v>
      </c>
      <c r="S13" s="8">
        <v>1426</v>
      </c>
      <c r="T13" s="8">
        <v>878</v>
      </c>
      <c r="U13" s="8">
        <v>2304</v>
      </c>
      <c r="V13" s="8">
        <f t="shared" si="1"/>
        <v>3019</v>
      </c>
      <c r="W13" s="8">
        <f t="shared" si="2"/>
        <v>2084</v>
      </c>
      <c r="X13" s="8">
        <f t="shared" si="3"/>
        <v>5103</v>
      </c>
    </row>
    <row r="14" spans="1:24" ht="14.25" customHeight="1">
      <c r="A14" s="1">
        <v>9</v>
      </c>
      <c r="B14" s="2">
        <v>19</v>
      </c>
      <c r="C14" s="3" t="s">
        <v>39</v>
      </c>
      <c r="D14" s="8">
        <v>18</v>
      </c>
      <c r="E14" s="8">
        <v>68</v>
      </c>
      <c r="F14" s="8">
        <v>86</v>
      </c>
      <c r="G14" s="8">
        <v>1002</v>
      </c>
      <c r="H14" s="8">
        <v>131</v>
      </c>
      <c r="I14" s="8">
        <v>1133</v>
      </c>
      <c r="J14" s="8">
        <v>389</v>
      </c>
      <c r="K14" s="8">
        <v>118</v>
      </c>
      <c r="L14" s="8">
        <v>507</v>
      </c>
      <c r="M14" s="8">
        <v>170</v>
      </c>
      <c r="N14" s="8">
        <v>44</v>
      </c>
      <c r="O14" s="8">
        <v>214</v>
      </c>
      <c r="P14" s="8">
        <v>105</v>
      </c>
      <c r="Q14" s="8">
        <v>55</v>
      </c>
      <c r="R14" s="8">
        <v>160</v>
      </c>
      <c r="S14" s="8">
        <v>1147</v>
      </c>
      <c r="T14" s="8">
        <v>260</v>
      </c>
      <c r="U14" s="8">
        <v>1407</v>
      </c>
      <c r="V14" s="8">
        <f t="shared" si="1"/>
        <v>2831</v>
      </c>
      <c r="W14" s="8">
        <f t="shared" si="2"/>
        <v>676</v>
      </c>
      <c r="X14" s="8">
        <f t="shared" si="3"/>
        <v>3507</v>
      </c>
    </row>
    <row r="15" spans="1:24" ht="14.25" customHeight="1">
      <c r="A15" s="1">
        <v>10</v>
      </c>
      <c r="B15" s="2">
        <v>21</v>
      </c>
      <c r="C15" s="3" t="s">
        <v>41</v>
      </c>
      <c r="D15" s="8">
        <v>22</v>
      </c>
      <c r="E15" s="8">
        <v>189</v>
      </c>
      <c r="F15" s="8">
        <v>211</v>
      </c>
      <c r="G15" s="8">
        <v>312</v>
      </c>
      <c r="H15" s="8">
        <v>319</v>
      </c>
      <c r="I15" s="8">
        <v>631</v>
      </c>
      <c r="J15" s="8">
        <v>98</v>
      </c>
      <c r="K15" s="8">
        <v>86</v>
      </c>
      <c r="L15" s="8">
        <v>184</v>
      </c>
      <c r="M15" s="8">
        <v>64</v>
      </c>
      <c r="N15" s="8">
        <v>17</v>
      </c>
      <c r="O15" s="8">
        <v>81</v>
      </c>
      <c r="P15" s="8">
        <v>26</v>
      </c>
      <c r="Q15" s="8">
        <v>22</v>
      </c>
      <c r="R15" s="8">
        <v>48</v>
      </c>
      <c r="S15" s="8">
        <v>1050</v>
      </c>
      <c r="T15" s="8">
        <v>748</v>
      </c>
      <c r="U15" s="8">
        <v>1798</v>
      </c>
      <c r="V15" s="8">
        <f t="shared" si="1"/>
        <v>1572</v>
      </c>
      <c r="W15" s="8">
        <f t="shared" si="2"/>
        <v>1381</v>
      </c>
      <c r="X15" s="8">
        <f t="shared" si="3"/>
        <v>2953</v>
      </c>
    </row>
    <row r="16" spans="1:24" ht="14.25" customHeight="1">
      <c r="A16" s="1">
        <v>11</v>
      </c>
      <c r="B16" s="2">
        <v>31</v>
      </c>
      <c r="C16" s="3" t="s">
        <v>12</v>
      </c>
      <c r="D16" s="8">
        <v>16</v>
      </c>
      <c r="E16" s="8">
        <v>582</v>
      </c>
      <c r="F16" s="8">
        <v>598</v>
      </c>
      <c r="G16" s="8">
        <v>8168</v>
      </c>
      <c r="H16" s="8">
        <v>1281</v>
      </c>
      <c r="I16" s="8">
        <v>9449</v>
      </c>
      <c r="J16" s="8">
        <v>6056</v>
      </c>
      <c r="K16" s="8">
        <v>1514</v>
      </c>
      <c r="L16" s="8">
        <v>7570</v>
      </c>
      <c r="M16" s="8">
        <v>1717</v>
      </c>
      <c r="N16" s="8">
        <v>451</v>
      </c>
      <c r="O16" s="8">
        <v>2168</v>
      </c>
      <c r="P16" s="8">
        <v>1026</v>
      </c>
      <c r="Q16" s="8">
        <v>834</v>
      </c>
      <c r="R16" s="8">
        <v>1860</v>
      </c>
      <c r="S16" s="8">
        <v>2796</v>
      </c>
      <c r="T16" s="8">
        <v>3554</v>
      </c>
      <c r="U16" s="8">
        <v>6350</v>
      </c>
      <c r="V16" s="8">
        <f t="shared" si="1"/>
        <v>19779</v>
      </c>
      <c r="W16" s="8">
        <f t="shared" si="2"/>
        <v>8216</v>
      </c>
      <c r="X16" s="8">
        <f t="shared" si="3"/>
        <v>27995</v>
      </c>
    </row>
    <row r="17" spans="1:24" ht="14.25" customHeight="1">
      <c r="A17" s="1">
        <v>12</v>
      </c>
      <c r="B17" s="2">
        <v>32</v>
      </c>
      <c r="C17" s="3" t="s">
        <v>13</v>
      </c>
      <c r="D17" s="8">
        <v>119</v>
      </c>
      <c r="E17" s="8">
        <v>2696</v>
      </c>
      <c r="F17" s="8">
        <v>2815</v>
      </c>
      <c r="G17" s="8">
        <v>6345</v>
      </c>
      <c r="H17" s="8">
        <v>3556</v>
      </c>
      <c r="I17" s="8">
        <v>9901</v>
      </c>
      <c r="J17" s="8">
        <v>1482</v>
      </c>
      <c r="K17" s="8">
        <v>2155</v>
      </c>
      <c r="L17" s="8">
        <v>3637</v>
      </c>
      <c r="M17" s="8">
        <v>421</v>
      </c>
      <c r="N17" s="8">
        <v>604</v>
      </c>
      <c r="O17" s="8">
        <v>1025</v>
      </c>
      <c r="P17" s="8">
        <v>215</v>
      </c>
      <c r="Q17" s="8">
        <v>577</v>
      </c>
      <c r="R17" s="8">
        <v>792</v>
      </c>
      <c r="S17" s="8">
        <v>9685</v>
      </c>
      <c r="T17" s="8">
        <v>21067</v>
      </c>
      <c r="U17" s="8">
        <v>30752</v>
      </c>
      <c r="V17" s="8">
        <f t="shared" si="1"/>
        <v>18267</v>
      </c>
      <c r="W17" s="8">
        <f t="shared" si="2"/>
        <v>30655</v>
      </c>
      <c r="X17" s="8">
        <f t="shared" si="3"/>
        <v>48922</v>
      </c>
    </row>
    <row r="18" spans="1:24" ht="14.25" customHeight="1">
      <c r="A18" s="1">
        <v>13</v>
      </c>
      <c r="B18" s="2">
        <v>33</v>
      </c>
      <c r="C18" s="3" t="s">
        <v>14</v>
      </c>
      <c r="D18" s="8">
        <v>65</v>
      </c>
      <c r="E18" s="8">
        <v>2164</v>
      </c>
      <c r="F18" s="8">
        <v>2229</v>
      </c>
      <c r="G18" s="8">
        <v>7768</v>
      </c>
      <c r="H18" s="8">
        <v>1996</v>
      </c>
      <c r="I18" s="8">
        <v>9764</v>
      </c>
      <c r="J18" s="8">
        <v>2558</v>
      </c>
      <c r="K18" s="8">
        <v>1169</v>
      </c>
      <c r="L18" s="8">
        <v>3727</v>
      </c>
      <c r="M18" s="8">
        <v>354</v>
      </c>
      <c r="N18" s="8">
        <v>232</v>
      </c>
      <c r="O18" s="8">
        <v>586</v>
      </c>
      <c r="P18" s="8">
        <v>304</v>
      </c>
      <c r="Q18" s="8">
        <v>673</v>
      </c>
      <c r="R18" s="8">
        <v>977</v>
      </c>
      <c r="S18" s="8">
        <v>10351</v>
      </c>
      <c r="T18" s="8">
        <v>11189</v>
      </c>
      <c r="U18" s="8">
        <v>21540</v>
      </c>
      <c r="V18" s="8">
        <f t="shared" si="1"/>
        <v>21400</v>
      </c>
      <c r="W18" s="8">
        <f t="shared" si="2"/>
        <v>17423</v>
      </c>
      <c r="X18" s="8">
        <f t="shared" si="3"/>
        <v>38823</v>
      </c>
    </row>
    <row r="19" spans="1:24" ht="14.25" customHeight="1">
      <c r="A19" s="1">
        <v>14</v>
      </c>
      <c r="B19" s="2">
        <v>34</v>
      </c>
      <c r="C19" s="3" t="s">
        <v>15</v>
      </c>
      <c r="D19" s="8">
        <v>22</v>
      </c>
      <c r="E19" s="8">
        <v>310</v>
      </c>
      <c r="F19" s="8">
        <v>332</v>
      </c>
      <c r="G19" s="8">
        <v>2516</v>
      </c>
      <c r="H19" s="8">
        <v>594</v>
      </c>
      <c r="I19" s="8">
        <v>3110</v>
      </c>
      <c r="J19" s="8">
        <v>1247</v>
      </c>
      <c r="K19" s="8">
        <v>702</v>
      </c>
      <c r="L19" s="8">
        <v>1949</v>
      </c>
      <c r="M19" s="8">
        <v>191</v>
      </c>
      <c r="N19" s="8">
        <v>140</v>
      </c>
      <c r="O19" s="8">
        <v>331</v>
      </c>
      <c r="P19" s="8">
        <v>337</v>
      </c>
      <c r="Q19" s="8">
        <v>398</v>
      </c>
      <c r="R19" s="8">
        <v>735</v>
      </c>
      <c r="S19" s="8">
        <v>1452</v>
      </c>
      <c r="T19" s="8">
        <v>3453</v>
      </c>
      <c r="U19" s="8">
        <v>4905</v>
      </c>
      <c r="V19" s="8">
        <f t="shared" si="1"/>
        <v>5765</v>
      </c>
      <c r="W19" s="8">
        <f t="shared" si="2"/>
        <v>5597</v>
      </c>
      <c r="X19" s="8">
        <f t="shared" si="3"/>
        <v>11362</v>
      </c>
    </row>
    <row r="20" spans="1:24" ht="14.25" customHeight="1">
      <c r="A20" s="1">
        <v>15</v>
      </c>
      <c r="B20" s="2">
        <v>35</v>
      </c>
      <c r="C20" s="3" t="s">
        <v>16</v>
      </c>
      <c r="D20" s="8">
        <v>78</v>
      </c>
      <c r="E20" s="8">
        <v>3497</v>
      </c>
      <c r="F20" s="8">
        <v>3575</v>
      </c>
      <c r="G20" s="8">
        <v>8781</v>
      </c>
      <c r="H20" s="8">
        <v>2998</v>
      </c>
      <c r="I20" s="8">
        <v>11779</v>
      </c>
      <c r="J20" s="8">
        <v>3466</v>
      </c>
      <c r="K20" s="8">
        <v>1818</v>
      </c>
      <c r="L20" s="8">
        <v>5284</v>
      </c>
      <c r="M20" s="8">
        <v>438</v>
      </c>
      <c r="N20" s="8">
        <v>652</v>
      </c>
      <c r="O20" s="8">
        <v>1090</v>
      </c>
      <c r="P20" s="8">
        <v>596</v>
      </c>
      <c r="Q20" s="8">
        <v>1076</v>
      </c>
      <c r="R20" s="8">
        <v>1672</v>
      </c>
      <c r="S20" s="8">
        <v>6593</v>
      </c>
      <c r="T20" s="8">
        <v>16722</v>
      </c>
      <c r="U20" s="8">
        <v>23315</v>
      </c>
      <c r="V20" s="8">
        <f t="shared" si="1"/>
        <v>19952</v>
      </c>
      <c r="W20" s="8">
        <f t="shared" si="2"/>
        <v>26763</v>
      </c>
      <c r="X20" s="8">
        <f t="shared" si="3"/>
        <v>46715</v>
      </c>
    </row>
    <row r="21" spans="1:24" ht="14.25" customHeight="1">
      <c r="A21" s="1">
        <v>16</v>
      </c>
      <c r="B21" s="2">
        <v>36</v>
      </c>
      <c r="C21" s="3" t="s">
        <v>38</v>
      </c>
      <c r="D21" s="8">
        <v>26</v>
      </c>
      <c r="E21" s="8">
        <v>678</v>
      </c>
      <c r="F21" s="8">
        <v>704</v>
      </c>
      <c r="G21" s="8">
        <v>2347</v>
      </c>
      <c r="H21" s="8">
        <v>839</v>
      </c>
      <c r="I21" s="8">
        <v>3186</v>
      </c>
      <c r="J21" s="8">
        <v>944</v>
      </c>
      <c r="K21" s="8">
        <v>514</v>
      </c>
      <c r="L21" s="8">
        <v>1458</v>
      </c>
      <c r="M21" s="8">
        <v>175</v>
      </c>
      <c r="N21" s="8">
        <v>177</v>
      </c>
      <c r="O21" s="8">
        <v>352</v>
      </c>
      <c r="P21" s="8">
        <v>113</v>
      </c>
      <c r="Q21" s="8">
        <v>293</v>
      </c>
      <c r="R21" s="8">
        <v>406</v>
      </c>
      <c r="S21" s="8">
        <v>1695</v>
      </c>
      <c r="T21" s="8">
        <v>5514</v>
      </c>
      <c r="U21" s="8">
        <v>7209</v>
      </c>
      <c r="V21" s="8">
        <f t="shared" si="1"/>
        <v>5300</v>
      </c>
      <c r="W21" s="8">
        <f t="shared" si="2"/>
        <v>8015</v>
      </c>
      <c r="X21" s="8">
        <f t="shared" si="3"/>
        <v>13315</v>
      </c>
    </row>
    <row r="22" spans="1:24" ht="14.25" customHeight="1">
      <c r="A22" s="1">
        <v>17</v>
      </c>
      <c r="B22" s="2">
        <v>51</v>
      </c>
      <c r="C22" s="3" t="s">
        <v>33</v>
      </c>
      <c r="D22" s="8">
        <v>73</v>
      </c>
      <c r="E22" s="8">
        <v>352</v>
      </c>
      <c r="F22" s="8">
        <v>425</v>
      </c>
      <c r="G22" s="8">
        <v>817</v>
      </c>
      <c r="H22" s="8">
        <v>435</v>
      </c>
      <c r="I22" s="8">
        <v>1252</v>
      </c>
      <c r="J22" s="8">
        <v>360</v>
      </c>
      <c r="K22" s="8">
        <v>61</v>
      </c>
      <c r="L22" s="8">
        <v>421</v>
      </c>
      <c r="M22" s="8">
        <v>61</v>
      </c>
      <c r="N22" s="8">
        <v>28</v>
      </c>
      <c r="O22" s="8">
        <v>89</v>
      </c>
      <c r="P22" s="8">
        <v>58</v>
      </c>
      <c r="Q22" s="8">
        <v>29</v>
      </c>
      <c r="R22" s="8">
        <v>87</v>
      </c>
      <c r="S22" s="8">
        <v>2543</v>
      </c>
      <c r="T22" s="8">
        <v>228</v>
      </c>
      <c r="U22" s="8">
        <v>2771</v>
      </c>
      <c r="V22" s="8">
        <f t="shared" si="1"/>
        <v>3912</v>
      </c>
      <c r="W22" s="8">
        <f t="shared" si="2"/>
        <v>1133</v>
      </c>
      <c r="X22" s="8">
        <f t="shared" si="3"/>
        <v>5045</v>
      </c>
    </row>
    <row r="23" spans="1:24" ht="14.25" customHeight="1">
      <c r="A23" s="1">
        <v>18</v>
      </c>
      <c r="B23" s="2">
        <v>52</v>
      </c>
      <c r="C23" s="3" t="s">
        <v>34</v>
      </c>
      <c r="D23" s="8">
        <v>76</v>
      </c>
      <c r="E23" s="8">
        <v>416</v>
      </c>
      <c r="F23" s="8">
        <v>492</v>
      </c>
      <c r="G23" s="8">
        <v>1304</v>
      </c>
      <c r="H23" s="8">
        <v>281</v>
      </c>
      <c r="I23" s="8">
        <v>1585</v>
      </c>
      <c r="J23" s="8">
        <v>488</v>
      </c>
      <c r="K23" s="8">
        <v>125</v>
      </c>
      <c r="L23" s="8">
        <v>613</v>
      </c>
      <c r="M23" s="8">
        <v>159</v>
      </c>
      <c r="N23" s="8">
        <v>58</v>
      </c>
      <c r="O23" s="8">
        <v>217</v>
      </c>
      <c r="P23" s="8">
        <v>109</v>
      </c>
      <c r="Q23" s="8">
        <v>44</v>
      </c>
      <c r="R23" s="8">
        <v>153</v>
      </c>
      <c r="S23" s="8">
        <v>2714</v>
      </c>
      <c r="T23" s="8">
        <v>1468</v>
      </c>
      <c r="U23" s="8">
        <v>4182</v>
      </c>
      <c r="V23" s="8">
        <f t="shared" si="1"/>
        <v>4850</v>
      </c>
      <c r="W23" s="8">
        <f t="shared" si="2"/>
        <v>2392</v>
      </c>
      <c r="X23" s="8">
        <f t="shared" si="3"/>
        <v>7242</v>
      </c>
    </row>
    <row r="24" spans="1:24" ht="14.25" customHeight="1">
      <c r="A24" s="1">
        <v>19</v>
      </c>
      <c r="B24" s="2">
        <v>53</v>
      </c>
      <c r="C24" s="3" t="s">
        <v>35</v>
      </c>
      <c r="D24" s="8">
        <v>126</v>
      </c>
      <c r="E24" s="8">
        <v>397</v>
      </c>
      <c r="F24" s="8">
        <v>523</v>
      </c>
      <c r="G24" s="8">
        <v>2046</v>
      </c>
      <c r="H24" s="8">
        <v>1288</v>
      </c>
      <c r="I24" s="8">
        <v>3334</v>
      </c>
      <c r="J24" s="8">
        <v>934</v>
      </c>
      <c r="K24" s="8">
        <v>225</v>
      </c>
      <c r="L24" s="8">
        <v>1159</v>
      </c>
      <c r="M24" s="8">
        <v>301</v>
      </c>
      <c r="N24" s="8">
        <v>151</v>
      </c>
      <c r="O24" s="8">
        <v>452</v>
      </c>
      <c r="P24" s="8">
        <v>138</v>
      </c>
      <c r="Q24" s="8">
        <v>101</v>
      </c>
      <c r="R24" s="8">
        <v>239</v>
      </c>
      <c r="S24" s="8">
        <v>2639</v>
      </c>
      <c r="T24" s="8">
        <v>929</v>
      </c>
      <c r="U24" s="8">
        <v>3568</v>
      </c>
      <c r="V24" s="8">
        <f t="shared" si="1"/>
        <v>6184</v>
      </c>
      <c r="W24" s="8">
        <f t="shared" si="2"/>
        <v>3091</v>
      </c>
      <c r="X24" s="8">
        <f t="shared" si="3"/>
        <v>9275</v>
      </c>
    </row>
    <row r="25" spans="1:24" ht="14.25" customHeight="1">
      <c r="A25" s="1">
        <v>20</v>
      </c>
      <c r="B25" s="2">
        <v>61</v>
      </c>
      <c r="C25" s="3" t="s">
        <v>24</v>
      </c>
      <c r="D25" s="8">
        <v>51</v>
      </c>
      <c r="E25" s="8">
        <v>313</v>
      </c>
      <c r="F25" s="8">
        <v>364</v>
      </c>
      <c r="G25" s="8">
        <v>1603</v>
      </c>
      <c r="H25" s="8">
        <v>271</v>
      </c>
      <c r="I25" s="8">
        <v>1874</v>
      </c>
      <c r="J25" s="8">
        <v>429</v>
      </c>
      <c r="K25" s="8">
        <v>124</v>
      </c>
      <c r="L25" s="8">
        <v>553</v>
      </c>
      <c r="M25" s="8">
        <v>81</v>
      </c>
      <c r="N25" s="8">
        <v>31</v>
      </c>
      <c r="O25" s="8">
        <v>112</v>
      </c>
      <c r="P25" s="8">
        <v>40</v>
      </c>
      <c r="Q25" s="8">
        <v>17</v>
      </c>
      <c r="R25" s="8">
        <v>57</v>
      </c>
      <c r="S25" s="8">
        <v>1215</v>
      </c>
      <c r="T25" s="8">
        <v>935</v>
      </c>
      <c r="U25" s="8">
        <v>2150</v>
      </c>
      <c r="V25" s="8">
        <f t="shared" si="1"/>
        <v>3419</v>
      </c>
      <c r="W25" s="8">
        <f t="shared" si="2"/>
        <v>1691</v>
      </c>
      <c r="X25" s="8">
        <f t="shared" si="3"/>
        <v>5110</v>
      </c>
    </row>
    <row r="26" spans="1:24" ht="14.25" customHeight="1">
      <c r="A26" s="1">
        <v>21</v>
      </c>
      <c r="B26" s="2">
        <v>62</v>
      </c>
      <c r="C26" s="3" t="s">
        <v>25</v>
      </c>
      <c r="D26" s="8">
        <v>58</v>
      </c>
      <c r="E26" s="8">
        <v>346</v>
      </c>
      <c r="F26" s="8">
        <v>404</v>
      </c>
      <c r="G26" s="8">
        <v>870</v>
      </c>
      <c r="H26" s="8">
        <v>258</v>
      </c>
      <c r="I26" s="8">
        <v>1128</v>
      </c>
      <c r="J26" s="8">
        <v>348</v>
      </c>
      <c r="K26" s="8">
        <v>62</v>
      </c>
      <c r="L26" s="8">
        <v>410</v>
      </c>
      <c r="M26" s="8">
        <v>159</v>
      </c>
      <c r="N26" s="8">
        <v>20</v>
      </c>
      <c r="O26" s="8">
        <v>179</v>
      </c>
      <c r="P26" s="8">
        <v>54</v>
      </c>
      <c r="Q26" s="8">
        <v>11</v>
      </c>
      <c r="R26" s="8">
        <v>65</v>
      </c>
      <c r="S26" s="8">
        <v>1520</v>
      </c>
      <c r="T26" s="8">
        <v>311</v>
      </c>
      <c r="U26" s="8">
        <v>1831</v>
      </c>
      <c r="V26" s="8">
        <f t="shared" si="1"/>
        <v>3009</v>
      </c>
      <c r="W26" s="8">
        <f t="shared" si="2"/>
        <v>1008</v>
      </c>
      <c r="X26" s="8">
        <f t="shared" si="3"/>
        <v>4017</v>
      </c>
    </row>
    <row r="27" spans="1:24" ht="14.25" customHeight="1">
      <c r="A27" s="1">
        <v>22</v>
      </c>
      <c r="B27" s="2">
        <v>63</v>
      </c>
      <c r="C27" s="3" t="s">
        <v>26</v>
      </c>
      <c r="D27" s="8">
        <v>153</v>
      </c>
      <c r="E27" s="8">
        <v>681</v>
      </c>
      <c r="F27" s="8">
        <v>834</v>
      </c>
      <c r="G27" s="8">
        <v>3525</v>
      </c>
      <c r="H27" s="8">
        <v>413</v>
      </c>
      <c r="I27" s="8">
        <v>3938</v>
      </c>
      <c r="J27" s="8">
        <v>1297</v>
      </c>
      <c r="K27" s="8">
        <v>101</v>
      </c>
      <c r="L27" s="8">
        <v>1398</v>
      </c>
      <c r="M27" s="8">
        <v>269</v>
      </c>
      <c r="N27" s="8">
        <v>42</v>
      </c>
      <c r="O27" s="8">
        <v>311</v>
      </c>
      <c r="P27" s="8">
        <v>267</v>
      </c>
      <c r="Q27" s="8">
        <v>46</v>
      </c>
      <c r="R27" s="8">
        <v>313</v>
      </c>
      <c r="S27" s="8">
        <v>3060</v>
      </c>
      <c r="T27" s="8">
        <v>199</v>
      </c>
      <c r="U27" s="8">
        <v>3259</v>
      </c>
      <c r="V27" s="8">
        <f t="shared" si="1"/>
        <v>8571</v>
      </c>
      <c r="W27" s="8">
        <f t="shared" si="2"/>
        <v>1482</v>
      </c>
      <c r="X27" s="8">
        <f t="shared" si="3"/>
        <v>10053</v>
      </c>
    </row>
    <row r="28" spans="1:24" ht="14.25" customHeight="1">
      <c r="A28" s="1">
        <v>23</v>
      </c>
      <c r="B28" s="2">
        <v>64</v>
      </c>
      <c r="C28" s="3" t="s">
        <v>27</v>
      </c>
      <c r="D28" s="8">
        <v>145</v>
      </c>
      <c r="E28" s="8">
        <v>924</v>
      </c>
      <c r="F28" s="8">
        <v>1069</v>
      </c>
      <c r="G28" s="8">
        <v>1295</v>
      </c>
      <c r="H28" s="8">
        <v>609</v>
      </c>
      <c r="I28" s="8">
        <v>1904</v>
      </c>
      <c r="J28" s="8">
        <v>474</v>
      </c>
      <c r="K28" s="8">
        <v>124</v>
      </c>
      <c r="L28" s="8">
        <v>598</v>
      </c>
      <c r="M28" s="8">
        <v>152</v>
      </c>
      <c r="N28" s="8">
        <v>40</v>
      </c>
      <c r="O28" s="8">
        <v>192</v>
      </c>
      <c r="P28" s="8">
        <v>91</v>
      </c>
      <c r="Q28" s="8">
        <v>48</v>
      </c>
      <c r="R28" s="8">
        <v>139</v>
      </c>
      <c r="S28" s="8">
        <v>1922</v>
      </c>
      <c r="T28" s="8">
        <v>1073</v>
      </c>
      <c r="U28" s="8">
        <v>2995</v>
      </c>
      <c r="V28" s="8">
        <f t="shared" si="1"/>
        <v>4079</v>
      </c>
      <c r="W28" s="8">
        <f t="shared" si="2"/>
        <v>2818</v>
      </c>
      <c r="X28" s="8">
        <f t="shared" si="3"/>
        <v>6897</v>
      </c>
    </row>
    <row r="29" spans="1:24" ht="14.25" customHeight="1">
      <c r="A29" s="1">
        <v>24</v>
      </c>
      <c r="B29" s="2">
        <v>65</v>
      </c>
      <c r="C29" s="3" t="s">
        <v>43</v>
      </c>
      <c r="D29" s="8">
        <v>14</v>
      </c>
      <c r="E29" s="8">
        <v>92</v>
      </c>
      <c r="F29" s="8">
        <v>106</v>
      </c>
      <c r="G29" s="8">
        <v>377</v>
      </c>
      <c r="H29" s="8">
        <v>34</v>
      </c>
      <c r="I29" s="8">
        <v>411</v>
      </c>
      <c r="J29" s="8">
        <v>81</v>
      </c>
      <c r="K29" s="8">
        <v>8</v>
      </c>
      <c r="L29" s="8">
        <v>89</v>
      </c>
      <c r="M29" s="8">
        <v>18</v>
      </c>
      <c r="N29" s="8">
        <v>7</v>
      </c>
      <c r="O29" s="8">
        <v>25</v>
      </c>
      <c r="P29" s="8">
        <v>5</v>
      </c>
      <c r="Q29" s="8">
        <v>2</v>
      </c>
      <c r="R29" s="8">
        <v>7</v>
      </c>
      <c r="S29" s="8">
        <v>688</v>
      </c>
      <c r="T29" s="8">
        <v>27</v>
      </c>
      <c r="U29" s="8">
        <v>715</v>
      </c>
      <c r="V29" s="8">
        <f t="shared" si="1"/>
        <v>1183</v>
      </c>
      <c r="W29" s="8">
        <f t="shared" si="2"/>
        <v>170</v>
      </c>
      <c r="X29" s="8">
        <f t="shared" si="3"/>
        <v>1353</v>
      </c>
    </row>
    <row r="30" spans="1:24" ht="14.25" customHeight="1">
      <c r="A30" s="1">
        <v>25</v>
      </c>
      <c r="B30" s="2">
        <v>71</v>
      </c>
      <c r="C30" s="3" t="s">
        <v>28</v>
      </c>
      <c r="D30" s="8">
        <v>17</v>
      </c>
      <c r="E30" s="8">
        <v>122</v>
      </c>
      <c r="F30" s="8">
        <v>139</v>
      </c>
      <c r="G30" s="8">
        <v>433</v>
      </c>
      <c r="H30" s="8">
        <v>350</v>
      </c>
      <c r="I30" s="8">
        <v>783</v>
      </c>
      <c r="J30" s="8">
        <v>269</v>
      </c>
      <c r="K30" s="8">
        <v>103</v>
      </c>
      <c r="L30" s="8">
        <v>372</v>
      </c>
      <c r="M30" s="8">
        <v>93</v>
      </c>
      <c r="N30" s="8">
        <v>27</v>
      </c>
      <c r="O30" s="8">
        <v>120</v>
      </c>
      <c r="P30" s="8">
        <v>46</v>
      </c>
      <c r="Q30" s="8">
        <v>25</v>
      </c>
      <c r="R30" s="8">
        <v>71</v>
      </c>
      <c r="S30" s="8">
        <v>317</v>
      </c>
      <c r="T30" s="8">
        <v>1318</v>
      </c>
      <c r="U30" s="8">
        <v>1635</v>
      </c>
      <c r="V30" s="8">
        <f t="shared" si="1"/>
        <v>1175</v>
      </c>
      <c r="W30" s="8">
        <f t="shared" si="2"/>
        <v>1945</v>
      </c>
      <c r="X30" s="8">
        <f t="shared" si="3"/>
        <v>3120</v>
      </c>
    </row>
    <row r="31" spans="1:24" ht="14.25" customHeight="1">
      <c r="A31" s="1">
        <v>26</v>
      </c>
      <c r="B31" s="2">
        <v>72</v>
      </c>
      <c r="C31" s="3" t="s">
        <v>29</v>
      </c>
      <c r="D31" s="8">
        <v>40</v>
      </c>
      <c r="E31" s="8">
        <v>347</v>
      </c>
      <c r="F31" s="8">
        <v>387</v>
      </c>
      <c r="G31" s="8">
        <v>1564</v>
      </c>
      <c r="H31" s="8">
        <v>216</v>
      </c>
      <c r="I31" s="8">
        <v>1780</v>
      </c>
      <c r="J31" s="8">
        <v>903</v>
      </c>
      <c r="K31" s="8">
        <v>93</v>
      </c>
      <c r="L31" s="8">
        <v>996</v>
      </c>
      <c r="M31" s="8">
        <v>176</v>
      </c>
      <c r="N31" s="8">
        <v>36</v>
      </c>
      <c r="O31" s="8">
        <v>212</v>
      </c>
      <c r="P31" s="8">
        <v>120</v>
      </c>
      <c r="Q31" s="8">
        <v>25</v>
      </c>
      <c r="R31" s="8">
        <v>145</v>
      </c>
      <c r="S31" s="8">
        <v>930</v>
      </c>
      <c r="T31" s="8">
        <v>780</v>
      </c>
      <c r="U31" s="8">
        <v>1710</v>
      </c>
      <c r="V31" s="8">
        <f t="shared" si="1"/>
        <v>3733</v>
      </c>
      <c r="W31" s="8">
        <f t="shared" si="2"/>
        <v>1497</v>
      </c>
      <c r="X31" s="8">
        <f t="shared" si="3"/>
        <v>5230</v>
      </c>
    </row>
    <row r="32" spans="1:24" ht="14.25" customHeight="1">
      <c r="A32" s="1">
        <v>27</v>
      </c>
      <c r="B32" s="2">
        <v>73</v>
      </c>
      <c r="C32" s="3" t="s">
        <v>30</v>
      </c>
      <c r="D32" s="8">
        <v>62</v>
      </c>
      <c r="E32" s="8">
        <v>723</v>
      </c>
      <c r="F32" s="8">
        <v>785</v>
      </c>
      <c r="G32" s="8">
        <v>2000</v>
      </c>
      <c r="H32" s="8">
        <v>480</v>
      </c>
      <c r="I32" s="8">
        <v>2480</v>
      </c>
      <c r="J32" s="8">
        <v>774</v>
      </c>
      <c r="K32" s="8">
        <v>188</v>
      </c>
      <c r="L32" s="8">
        <v>962</v>
      </c>
      <c r="M32" s="8">
        <v>207</v>
      </c>
      <c r="N32" s="8">
        <v>97</v>
      </c>
      <c r="O32" s="8">
        <v>304</v>
      </c>
      <c r="P32" s="8">
        <v>125</v>
      </c>
      <c r="Q32" s="8">
        <v>103</v>
      </c>
      <c r="R32" s="8">
        <v>228</v>
      </c>
      <c r="S32" s="8">
        <v>2223</v>
      </c>
      <c r="T32" s="8">
        <v>2811</v>
      </c>
      <c r="U32" s="8">
        <v>5034</v>
      </c>
      <c r="V32" s="8">
        <f t="shared" si="1"/>
        <v>5391</v>
      </c>
      <c r="W32" s="8">
        <f t="shared" si="2"/>
        <v>4402</v>
      </c>
      <c r="X32" s="8">
        <f t="shared" si="3"/>
        <v>9793</v>
      </c>
    </row>
    <row r="33" spans="1:24" ht="14.25" customHeight="1">
      <c r="A33" s="1">
        <v>28</v>
      </c>
      <c r="B33" s="2">
        <v>74</v>
      </c>
      <c r="C33" s="3" t="s">
        <v>31</v>
      </c>
      <c r="D33" s="8">
        <v>145</v>
      </c>
      <c r="E33" s="8">
        <v>521</v>
      </c>
      <c r="F33" s="8">
        <v>666</v>
      </c>
      <c r="G33" s="8">
        <v>1209</v>
      </c>
      <c r="H33" s="8">
        <v>111</v>
      </c>
      <c r="I33" s="8">
        <v>1320</v>
      </c>
      <c r="J33" s="8">
        <v>433</v>
      </c>
      <c r="K33" s="8">
        <v>29</v>
      </c>
      <c r="L33" s="8">
        <v>462</v>
      </c>
      <c r="M33" s="8">
        <v>213</v>
      </c>
      <c r="N33" s="8">
        <v>12</v>
      </c>
      <c r="O33" s="8">
        <v>225</v>
      </c>
      <c r="P33" s="8">
        <v>62</v>
      </c>
      <c r="Q33" s="8">
        <v>20</v>
      </c>
      <c r="R33" s="8">
        <v>82</v>
      </c>
      <c r="S33" s="8">
        <v>795</v>
      </c>
      <c r="T33" s="8">
        <v>1747</v>
      </c>
      <c r="U33" s="8">
        <v>2542</v>
      </c>
      <c r="V33" s="8">
        <f t="shared" si="1"/>
        <v>2857</v>
      </c>
      <c r="W33" s="8">
        <f t="shared" si="2"/>
        <v>2440</v>
      </c>
      <c r="X33" s="8">
        <f t="shared" si="3"/>
        <v>5297</v>
      </c>
    </row>
    <row r="34" spans="1:24" ht="14.25" customHeight="1">
      <c r="A34" s="1">
        <v>29</v>
      </c>
      <c r="B34" s="2">
        <v>75</v>
      </c>
      <c r="C34" s="3" t="s">
        <v>40</v>
      </c>
      <c r="D34" s="8">
        <v>41</v>
      </c>
      <c r="E34" s="8">
        <v>27</v>
      </c>
      <c r="F34" s="8">
        <v>68</v>
      </c>
      <c r="G34" s="8">
        <v>680</v>
      </c>
      <c r="H34" s="8">
        <v>82</v>
      </c>
      <c r="I34" s="8">
        <v>762</v>
      </c>
      <c r="J34" s="8">
        <v>314</v>
      </c>
      <c r="K34" s="8">
        <v>12</v>
      </c>
      <c r="L34" s="8">
        <v>326</v>
      </c>
      <c r="M34" s="8">
        <v>84</v>
      </c>
      <c r="N34" s="8">
        <v>8</v>
      </c>
      <c r="O34" s="8">
        <v>92</v>
      </c>
      <c r="P34" s="8">
        <v>42</v>
      </c>
      <c r="Q34" s="8">
        <v>2</v>
      </c>
      <c r="R34" s="8">
        <v>44</v>
      </c>
      <c r="S34" s="8">
        <v>832</v>
      </c>
      <c r="T34" s="8">
        <v>0</v>
      </c>
      <c r="U34" s="8">
        <v>832</v>
      </c>
      <c r="V34" s="8">
        <f t="shared" si="1"/>
        <v>1993</v>
      </c>
      <c r="W34" s="8">
        <f t="shared" si="2"/>
        <v>131</v>
      </c>
      <c r="X34" s="8">
        <f t="shared" si="3"/>
        <v>2124</v>
      </c>
    </row>
    <row r="35" spans="1:24" ht="14.25" customHeight="1">
      <c r="A35" s="1">
        <v>30</v>
      </c>
      <c r="B35" s="2">
        <v>76</v>
      </c>
      <c r="C35" s="3" t="s">
        <v>42</v>
      </c>
      <c r="D35" s="8">
        <v>29</v>
      </c>
      <c r="E35" s="8">
        <v>85</v>
      </c>
      <c r="F35" s="8">
        <v>114</v>
      </c>
      <c r="G35" s="8">
        <v>240</v>
      </c>
      <c r="H35" s="8">
        <v>8</v>
      </c>
      <c r="I35" s="8">
        <v>248</v>
      </c>
      <c r="J35" s="8">
        <v>77</v>
      </c>
      <c r="K35" s="8">
        <v>6</v>
      </c>
      <c r="L35" s="8">
        <v>83</v>
      </c>
      <c r="M35" s="8">
        <v>53</v>
      </c>
      <c r="N35" s="8">
        <v>2</v>
      </c>
      <c r="O35" s="8">
        <v>55</v>
      </c>
      <c r="P35" s="8">
        <v>12</v>
      </c>
      <c r="Q35" s="8">
        <v>8</v>
      </c>
      <c r="R35" s="8">
        <v>20</v>
      </c>
      <c r="S35" s="8">
        <v>619</v>
      </c>
      <c r="T35" s="8">
        <v>359</v>
      </c>
      <c r="U35" s="8">
        <v>978</v>
      </c>
      <c r="V35" s="8">
        <f t="shared" si="1"/>
        <v>1030</v>
      </c>
      <c r="W35" s="8">
        <f t="shared" si="2"/>
        <v>468</v>
      </c>
      <c r="X35" s="8">
        <f t="shared" si="3"/>
        <v>1498</v>
      </c>
    </row>
    <row r="36" spans="1:24" ht="14.25" customHeight="1">
      <c r="A36" s="1">
        <v>31</v>
      </c>
      <c r="B36" s="2">
        <v>81</v>
      </c>
      <c r="C36" s="3" t="s">
        <v>32</v>
      </c>
      <c r="D36" s="8">
        <v>44</v>
      </c>
      <c r="E36" s="8">
        <v>82</v>
      </c>
      <c r="F36" s="8">
        <v>126</v>
      </c>
      <c r="G36" s="8">
        <v>515</v>
      </c>
      <c r="H36" s="8">
        <v>151</v>
      </c>
      <c r="I36" s="8">
        <v>666</v>
      </c>
      <c r="J36" s="8">
        <v>236</v>
      </c>
      <c r="K36" s="8">
        <v>56</v>
      </c>
      <c r="L36" s="8">
        <v>292</v>
      </c>
      <c r="M36" s="8">
        <v>116</v>
      </c>
      <c r="N36" s="8">
        <v>25</v>
      </c>
      <c r="O36" s="8">
        <v>141</v>
      </c>
      <c r="P36" s="8">
        <v>50</v>
      </c>
      <c r="Q36" s="8">
        <v>6</v>
      </c>
      <c r="R36" s="8">
        <v>56</v>
      </c>
      <c r="S36" s="8">
        <v>654</v>
      </c>
      <c r="T36" s="8">
        <v>217</v>
      </c>
      <c r="U36" s="8">
        <v>871</v>
      </c>
      <c r="V36" s="8">
        <f t="shared" si="1"/>
        <v>1615</v>
      </c>
      <c r="W36" s="8">
        <f t="shared" si="2"/>
        <v>537</v>
      </c>
      <c r="X36" s="8">
        <f t="shared" si="3"/>
        <v>2152</v>
      </c>
    </row>
    <row r="37" spans="1:24" ht="14.25" customHeight="1">
      <c r="A37" s="1">
        <v>32</v>
      </c>
      <c r="B37" s="2">
        <v>82</v>
      </c>
      <c r="C37" s="3" t="s">
        <v>37</v>
      </c>
      <c r="D37" s="8">
        <v>8</v>
      </c>
      <c r="E37" s="8">
        <v>96</v>
      </c>
      <c r="F37" s="8">
        <v>104</v>
      </c>
      <c r="G37" s="8">
        <v>580</v>
      </c>
      <c r="H37" s="8">
        <v>107</v>
      </c>
      <c r="I37" s="8">
        <v>687</v>
      </c>
      <c r="J37" s="8">
        <v>281</v>
      </c>
      <c r="K37" s="8">
        <v>113</v>
      </c>
      <c r="L37" s="8">
        <v>394</v>
      </c>
      <c r="M37" s="8">
        <v>104</v>
      </c>
      <c r="N37" s="8">
        <v>27</v>
      </c>
      <c r="O37" s="8">
        <v>131</v>
      </c>
      <c r="P37" s="8">
        <v>34</v>
      </c>
      <c r="Q37" s="8">
        <v>43</v>
      </c>
      <c r="R37" s="8">
        <v>77</v>
      </c>
      <c r="S37" s="8">
        <v>660</v>
      </c>
      <c r="T37" s="8">
        <v>190</v>
      </c>
      <c r="U37" s="8">
        <v>850</v>
      </c>
      <c r="V37" s="8">
        <f t="shared" si="1"/>
        <v>1667</v>
      </c>
      <c r="W37" s="8">
        <f t="shared" si="2"/>
        <v>576</v>
      </c>
      <c r="X37" s="8">
        <f t="shared" si="3"/>
        <v>2243</v>
      </c>
    </row>
    <row r="38" spans="1:24" ht="14.25" customHeight="1">
      <c r="A38" s="1">
        <v>33</v>
      </c>
      <c r="B38" s="2">
        <v>91</v>
      </c>
      <c r="C38" s="3" t="s">
        <v>44</v>
      </c>
      <c r="D38" s="8">
        <v>3</v>
      </c>
      <c r="E38" s="8">
        <v>67</v>
      </c>
      <c r="F38" s="8">
        <v>70</v>
      </c>
      <c r="G38" s="8">
        <v>223</v>
      </c>
      <c r="H38" s="8">
        <v>324</v>
      </c>
      <c r="I38" s="8">
        <v>547</v>
      </c>
      <c r="J38" s="8">
        <v>170</v>
      </c>
      <c r="K38" s="8">
        <v>40</v>
      </c>
      <c r="L38" s="8">
        <v>210</v>
      </c>
      <c r="M38" s="8">
        <v>29</v>
      </c>
      <c r="N38" s="8">
        <v>27</v>
      </c>
      <c r="O38" s="8">
        <v>56</v>
      </c>
      <c r="P38" s="8">
        <v>34</v>
      </c>
      <c r="Q38" s="8">
        <v>7</v>
      </c>
      <c r="R38" s="8">
        <v>41</v>
      </c>
      <c r="S38" s="8">
        <v>425</v>
      </c>
      <c r="T38" s="8">
        <v>58</v>
      </c>
      <c r="U38" s="8">
        <v>483</v>
      </c>
      <c r="V38" s="8">
        <f t="shared" si="1"/>
        <v>884</v>
      </c>
      <c r="W38" s="8">
        <f t="shared" si="2"/>
        <v>523</v>
      </c>
      <c r="X38" s="8">
        <f t="shared" si="3"/>
        <v>1407</v>
      </c>
    </row>
    <row r="39" spans="1:24" ht="14.25" customHeight="1">
      <c r="A39" s="1">
        <v>34</v>
      </c>
      <c r="B39" s="2">
        <v>92</v>
      </c>
      <c r="C39" s="3" t="s">
        <v>45</v>
      </c>
      <c r="D39" s="8">
        <v>9</v>
      </c>
      <c r="E39" s="8">
        <v>14</v>
      </c>
      <c r="F39" s="8">
        <v>23</v>
      </c>
      <c r="G39" s="8">
        <v>393</v>
      </c>
      <c r="H39" s="8">
        <v>83</v>
      </c>
      <c r="I39" s="8">
        <v>476</v>
      </c>
      <c r="J39" s="8">
        <v>185</v>
      </c>
      <c r="K39" s="8">
        <v>58</v>
      </c>
      <c r="L39" s="8">
        <v>243</v>
      </c>
      <c r="M39" s="8">
        <v>146</v>
      </c>
      <c r="N39" s="8">
        <v>52</v>
      </c>
      <c r="O39" s="8">
        <v>198</v>
      </c>
      <c r="P39" s="8">
        <v>23</v>
      </c>
      <c r="Q39" s="8">
        <v>3</v>
      </c>
      <c r="R39" s="8">
        <v>26</v>
      </c>
      <c r="S39" s="8">
        <v>71</v>
      </c>
      <c r="T39" s="8">
        <v>0</v>
      </c>
      <c r="U39" s="8">
        <v>71</v>
      </c>
      <c r="V39" s="8">
        <f t="shared" si="1"/>
        <v>827</v>
      </c>
      <c r="W39" s="8">
        <f t="shared" si="2"/>
        <v>210</v>
      </c>
      <c r="X39" s="8">
        <f t="shared" si="3"/>
        <v>1037</v>
      </c>
    </row>
    <row r="40" spans="1:24" ht="14.25" customHeight="1">
      <c r="A40" s="1">
        <v>35</v>
      </c>
      <c r="B40" s="2">
        <v>93</v>
      </c>
      <c r="C40" s="3" t="s">
        <v>48</v>
      </c>
      <c r="D40" s="8">
        <v>36</v>
      </c>
      <c r="E40" s="8">
        <v>22</v>
      </c>
      <c r="F40" s="8">
        <v>58</v>
      </c>
      <c r="G40" s="8">
        <v>186</v>
      </c>
      <c r="H40" s="8">
        <v>20</v>
      </c>
      <c r="I40" s="8">
        <v>206</v>
      </c>
      <c r="J40" s="8">
        <v>208</v>
      </c>
      <c r="K40" s="8">
        <v>51</v>
      </c>
      <c r="L40" s="8">
        <v>259</v>
      </c>
      <c r="M40" s="8">
        <v>7</v>
      </c>
      <c r="N40" s="8">
        <v>5</v>
      </c>
      <c r="O40" s="8">
        <v>12</v>
      </c>
      <c r="P40" s="8">
        <v>8</v>
      </c>
      <c r="Q40" s="8">
        <v>3</v>
      </c>
      <c r="R40" s="8">
        <v>11</v>
      </c>
      <c r="S40" s="8">
        <v>145</v>
      </c>
      <c r="T40" s="8">
        <v>24</v>
      </c>
      <c r="U40" s="8">
        <v>169</v>
      </c>
      <c r="V40" s="8">
        <f t="shared" si="1"/>
        <v>590</v>
      </c>
      <c r="W40" s="8">
        <f t="shared" si="2"/>
        <v>125</v>
      </c>
      <c r="X40" s="8">
        <f t="shared" si="3"/>
        <v>715</v>
      </c>
    </row>
    <row r="41" spans="1:24" ht="14.25" customHeight="1">
      <c r="A41" s="1">
        <v>36</v>
      </c>
      <c r="B41" s="2">
        <v>94</v>
      </c>
      <c r="C41" s="3" t="s">
        <v>49</v>
      </c>
      <c r="D41" s="8">
        <v>350</v>
      </c>
      <c r="E41" s="8">
        <v>625</v>
      </c>
      <c r="F41" s="8">
        <v>975</v>
      </c>
      <c r="G41" s="8">
        <v>362</v>
      </c>
      <c r="H41" s="8">
        <v>631</v>
      </c>
      <c r="I41" s="8">
        <v>993</v>
      </c>
      <c r="J41" s="8">
        <v>123</v>
      </c>
      <c r="K41" s="8">
        <v>24</v>
      </c>
      <c r="L41" s="8">
        <v>147</v>
      </c>
      <c r="M41" s="8">
        <v>20</v>
      </c>
      <c r="N41" s="8">
        <v>17</v>
      </c>
      <c r="O41" s="8">
        <v>37</v>
      </c>
      <c r="P41" s="8">
        <v>4</v>
      </c>
      <c r="Q41" s="8">
        <v>7</v>
      </c>
      <c r="R41" s="8">
        <v>11</v>
      </c>
      <c r="S41" s="8">
        <v>151</v>
      </c>
      <c r="T41" s="8">
        <v>561</v>
      </c>
      <c r="U41" s="8">
        <v>712</v>
      </c>
      <c r="V41" s="8">
        <f t="shared" si="1"/>
        <v>1010</v>
      </c>
      <c r="W41" s="8">
        <f t="shared" si="2"/>
        <v>1865</v>
      </c>
      <c r="X41" s="8">
        <f t="shared" si="3"/>
        <v>2875</v>
      </c>
    </row>
    <row r="42" spans="1:24" ht="14.25" customHeight="1">
      <c r="A42" s="1">
        <v>37</v>
      </c>
      <c r="B42" s="2">
        <v>95</v>
      </c>
      <c r="C42" s="3" t="s">
        <v>47</v>
      </c>
      <c r="D42" s="8">
        <v>0</v>
      </c>
      <c r="E42" s="8">
        <v>19</v>
      </c>
      <c r="F42" s="8">
        <v>19</v>
      </c>
      <c r="G42" s="8">
        <v>1415</v>
      </c>
      <c r="H42" s="8">
        <v>268</v>
      </c>
      <c r="I42" s="8">
        <v>1683</v>
      </c>
      <c r="J42" s="8">
        <v>503</v>
      </c>
      <c r="K42" s="8">
        <v>59</v>
      </c>
      <c r="L42" s="8">
        <v>562</v>
      </c>
      <c r="M42" s="8">
        <v>50</v>
      </c>
      <c r="N42" s="8">
        <v>9</v>
      </c>
      <c r="O42" s="8">
        <v>59</v>
      </c>
      <c r="P42" s="8">
        <v>5</v>
      </c>
      <c r="Q42" s="8">
        <v>18</v>
      </c>
      <c r="R42" s="8">
        <v>23</v>
      </c>
      <c r="S42" s="8">
        <v>0</v>
      </c>
      <c r="T42" s="8">
        <v>0</v>
      </c>
      <c r="U42" s="8">
        <v>0</v>
      </c>
      <c r="V42" s="8">
        <f t="shared" si="1"/>
        <v>1973</v>
      </c>
      <c r="W42" s="8">
        <f t="shared" si="2"/>
        <v>373</v>
      </c>
      <c r="X42" s="8">
        <f t="shared" si="3"/>
        <v>2346</v>
      </c>
    </row>
    <row r="43" spans="1:24" ht="14.25" customHeight="1">
      <c r="A43" s="1">
        <v>38</v>
      </c>
      <c r="B43" s="2">
        <v>96</v>
      </c>
      <c r="C43" s="3" t="s">
        <v>46</v>
      </c>
      <c r="D43" s="8">
        <v>30</v>
      </c>
      <c r="E43" s="8">
        <v>56</v>
      </c>
      <c r="F43" s="8">
        <v>86</v>
      </c>
      <c r="G43" s="8">
        <v>217</v>
      </c>
      <c r="H43" s="8">
        <v>105</v>
      </c>
      <c r="I43" s="8">
        <v>322</v>
      </c>
      <c r="J43" s="8">
        <v>180</v>
      </c>
      <c r="K43" s="8">
        <v>83</v>
      </c>
      <c r="L43" s="8">
        <v>263</v>
      </c>
      <c r="M43" s="8">
        <v>30</v>
      </c>
      <c r="N43" s="8">
        <v>9</v>
      </c>
      <c r="O43" s="8">
        <v>39</v>
      </c>
      <c r="P43" s="8">
        <v>11</v>
      </c>
      <c r="Q43" s="8">
        <v>22</v>
      </c>
      <c r="R43" s="8">
        <v>33</v>
      </c>
      <c r="S43" s="8">
        <v>234</v>
      </c>
      <c r="T43" s="8">
        <v>0</v>
      </c>
      <c r="U43" s="8">
        <v>234</v>
      </c>
      <c r="V43" s="8">
        <f t="shared" si="1"/>
        <v>702</v>
      </c>
      <c r="W43" s="8">
        <f t="shared" si="2"/>
        <v>275</v>
      </c>
      <c r="X43" s="8">
        <f t="shared" si="3"/>
        <v>977</v>
      </c>
    </row>
    <row r="44" spans="1:24" ht="14.25" customHeight="1">
      <c r="A44" s="4">
        <v>39</v>
      </c>
      <c r="B44" s="5" t="s">
        <v>76</v>
      </c>
      <c r="C44" s="6" t="s">
        <v>50</v>
      </c>
      <c r="D44" s="8">
        <v>0</v>
      </c>
      <c r="E44" s="8">
        <v>0</v>
      </c>
      <c r="F44" s="8">
        <v>0</v>
      </c>
      <c r="G44" s="8">
        <v>27</v>
      </c>
      <c r="H44" s="8">
        <v>4</v>
      </c>
      <c r="I44" s="8">
        <v>31</v>
      </c>
      <c r="J44" s="8">
        <v>1</v>
      </c>
      <c r="K44" s="8">
        <v>2</v>
      </c>
      <c r="L44" s="8">
        <v>3</v>
      </c>
      <c r="M44" s="8">
        <v>1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f t="shared" si="1"/>
        <v>29</v>
      </c>
      <c r="W44" s="8">
        <f t="shared" si="2"/>
        <v>6</v>
      </c>
      <c r="X44" s="8">
        <f t="shared" si="3"/>
        <v>35</v>
      </c>
    </row>
    <row r="45" spans="1:24" ht="14.25" customHeight="1">
      <c r="A45" s="21"/>
      <c r="B45" s="22"/>
      <c r="C45" s="3" t="s">
        <v>51</v>
      </c>
      <c r="D45" s="8">
        <f t="shared" ref="D45:U45" si="4">SUM(D6:D44)</f>
        <v>2220</v>
      </c>
      <c r="E45" s="8">
        <f t="shared" si="4"/>
        <v>19739</v>
      </c>
      <c r="F45" s="8">
        <f t="shared" si="4"/>
        <v>21959</v>
      </c>
      <c r="G45" s="8">
        <f t="shared" si="4"/>
        <v>72435</v>
      </c>
      <c r="H45" s="8">
        <f t="shared" si="4"/>
        <v>21551</v>
      </c>
      <c r="I45" s="8">
        <f t="shared" si="4"/>
        <v>93986</v>
      </c>
      <c r="J45" s="8">
        <f t="shared" si="4"/>
        <v>29923</v>
      </c>
      <c r="K45" s="8">
        <f t="shared" si="4"/>
        <v>11248</v>
      </c>
      <c r="L45" s="8">
        <f t="shared" si="4"/>
        <v>41171</v>
      </c>
      <c r="M45" s="8">
        <f t="shared" si="4"/>
        <v>7381</v>
      </c>
      <c r="N45" s="8">
        <f t="shared" si="4"/>
        <v>3525</v>
      </c>
      <c r="O45" s="8">
        <f t="shared" si="4"/>
        <v>10906</v>
      </c>
      <c r="P45" s="8">
        <f t="shared" si="4"/>
        <v>4791</v>
      </c>
      <c r="Q45" s="8">
        <f t="shared" si="4"/>
        <v>4876</v>
      </c>
      <c r="R45" s="8">
        <f t="shared" si="4"/>
        <v>9667</v>
      </c>
      <c r="S45" s="8">
        <f t="shared" si="4"/>
        <v>76473</v>
      </c>
      <c r="T45" s="8">
        <f t="shared" si="4"/>
        <v>89769</v>
      </c>
      <c r="U45" s="8">
        <f t="shared" si="4"/>
        <v>166242</v>
      </c>
      <c r="V45" s="8">
        <f>D45+G45+J45+M45+P45+S45</f>
        <v>193223</v>
      </c>
      <c r="W45" s="8">
        <f t="shared" si="2"/>
        <v>150708</v>
      </c>
      <c r="X45" s="8">
        <f t="shared" si="3"/>
        <v>343931</v>
      </c>
    </row>
    <row r="46" spans="1:24" ht="14.25" customHeight="1"/>
    <row r="47" spans="1:24" ht="14.25" customHeight="1"/>
    <row r="48" spans="1:2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</sheetData>
  <sortState xmlns:xlrd2="http://schemas.microsoft.com/office/spreadsheetml/2017/richdata2" ref="B6:C43">
    <sortCondition ref="B6:B43"/>
  </sortState>
  <mergeCells count="13">
    <mergeCell ref="V3:X4"/>
    <mergeCell ref="A45:B45"/>
    <mergeCell ref="P4:R4"/>
    <mergeCell ref="S4:U4"/>
    <mergeCell ref="D4:F4"/>
    <mergeCell ref="G4:I4"/>
    <mergeCell ref="D3:R3"/>
    <mergeCell ref="S3:U3"/>
    <mergeCell ref="C3:C5"/>
    <mergeCell ref="B3:B5"/>
    <mergeCell ref="A3:A5"/>
    <mergeCell ref="J4:L4"/>
    <mergeCell ref="M4:O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"/>
  <sheetViews>
    <sheetView tabSelected="1" workbookViewId="0">
      <selection activeCell="B23" sqref="B23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34" t="s">
        <v>52</v>
      </c>
      <c r="B2" s="37" t="s">
        <v>68</v>
      </c>
    </row>
    <row r="3" spans="1:2" ht="14.25" customHeight="1">
      <c r="A3" s="35"/>
      <c r="B3" s="38"/>
    </row>
    <row r="4" spans="1:2" ht="14.25" customHeight="1">
      <c r="A4" s="36"/>
      <c r="B4" s="39"/>
    </row>
    <row r="5" spans="1:2" ht="30">
      <c r="A5" s="7" t="s">
        <v>53</v>
      </c>
      <c r="B5" s="10" t="s">
        <v>74</v>
      </c>
    </row>
    <row r="6" spans="1:2" ht="28.5" customHeight="1">
      <c r="A6" s="7" t="s">
        <v>54</v>
      </c>
      <c r="B6" s="11" t="s">
        <v>77</v>
      </c>
    </row>
    <row r="7" spans="1:2" ht="14.25" customHeight="1">
      <c r="A7" s="7" t="s">
        <v>55</v>
      </c>
      <c r="B7" s="12" t="s">
        <v>69</v>
      </c>
    </row>
    <row r="8" spans="1:2" ht="30">
      <c r="A8" s="7" t="s">
        <v>56</v>
      </c>
      <c r="B8" s="11" t="s">
        <v>70</v>
      </c>
    </row>
    <row r="9" spans="1:2" ht="14.25" customHeight="1">
      <c r="A9" s="7" t="s">
        <v>57</v>
      </c>
      <c r="B9" s="13" t="s">
        <v>58</v>
      </c>
    </row>
    <row r="10" spans="1:2" ht="14.25" customHeight="1">
      <c r="A10" s="7" t="s">
        <v>59</v>
      </c>
      <c r="B10" s="13" t="s">
        <v>11</v>
      </c>
    </row>
    <row r="11" spans="1:2" ht="14.25" customHeight="1">
      <c r="A11" s="7" t="s">
        <v>60</v>
      </c>
      <c r="B11" s="10" t="s">
        <v>71</v>
      </c>
    </row>
    <row r="12" spans="1:2" ht="14.25" customHeight="1">
      <c r="A12" s="7" t="s">
        <v>61</v>
      </c>
      <c r="B12" s="13" t="s">
        <v>66</v>
      </c>
    </row>
    <row r="13" spans="1:2" ht="14.25" customHeight="1">
      <c r="A13" s="32" t="s">
        <v>62</v>
      </c>
      <c r="B13" s="10" t="s">
        <v>72</v>
      </c>
    </row>
    <row r="14" spans="1:2" ht="14.25" customHeight="1">
      <c r="A14" s="33"/>
      <c r="B14" s="10" t="s">
        <v>73</v>
      </c>
    </row>
    <row r="15" spans="1:2" ht="14.25" customHeight="1">
      <c r="A15" s="40" t="s">
        <v>63</v>
      </c>
      <c r="B15" s="13" t="s">
        <v>2</v>
      </c>
    </row>
    <row r="16" spans="1:2" ht="14.25" customHeight="1">
      <c r="A16" s="35"/>
      <c r="B16" s="13" t="s">
        <v>64</v>
      </c>
    </row>
    <row r="17" spans="1:2" ht="14.25" customHeight="1">
      <c r="A17" s="36"/>
      <c r="B17" s="13" t="s">
        <v>65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4">
    <mergeCell ref="A13:A14"/>
    <mergeCell ref="A2:A4"/>
    <mergeCell ref="B2:B4"/>
    <mergeCell ref="A15:A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2026-02-20T06:29:38Z</dcterms:modified>
</cp:coreProperties>
</file>