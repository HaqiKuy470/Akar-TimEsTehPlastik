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\"/>
    </mc:Choice>
  </mc:AlternateContent>
  <xr:revisionPtr revIDLastSave="0" documentId="13_ncr:1_{60158C47-DC8A-48C0-9EDB-06AD2F10F27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calcPr calcId="191029"/>
  <extLst>
    <ext uri="GoogleSheetsCustomDataVersion2">
      <go:sheetsCustomData xmlns:go="http://customooxmlschemas.google.com/" r:id="rId6" roundtripDataChecksum="gSzXSh/VidlNnbSprUbdDK0WoYWgpLs45GzUTSK0d30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7" i="1"/>
  <c r="BR46" i="1" l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M46" i="1"/>
  <c r="AL46" i="1"/>
  <c r="AK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</calcChain>
</file>

<file path=xl/sharedStrings.xml><?xml version="1.0" encoding="utf-8"?>
<sst xmlns="http://schemas.openxmlformats.org/spreadsheetml/2006/main" count="206" uniqueCount="87">
  <si>
    <t>No</t>
  </si>
  <si>
    <t>Kode Wilayah</t>
  </si>
  <si>
    <t>Wilayah</t>
  </si>
  <si>
    <t>Pendidik</t>
  </si>
  <si>
    <t>PAUD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</si>
  <si>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</si>
  <si>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</si>
  <si>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</si>
  <si>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</si>
  <si>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</si>
  <si>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Taman Kanak-kanak (TK)</t>
  </si>
  <si>
    <t>Kelompok Bermain (KB)</t>
  </si>
  <si>
    <t>Taman Pendidikan Al-Qur'an (TPA)</t>
  </si>
  <si>
    <t>Satuan PAUD Sejenis (SPS)</t>
  </si>
  <si>
    <t>Kursus</t>
  </si>
  <si>
    <t>Pusat Kegiatan Belajar Masyarakat (PKBM)</t>
  </si>
  <si>
    <t>Sanggar Kegiatan Belajar (SKB)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</si>
  <si>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</si>
  <si>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</si>
  <si>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</si>
  <si>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</si>
  <si>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</si>
  <si>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</si>
  <si>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</si>
  <si>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</si>
  <si>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</si>
  <si>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</si>
  <si>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</si>
  <si>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</si>
  <si>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</si>
  <si>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</si>
  <si>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</si>
  <si>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</si>
  <si>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</si>
  <si>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</si>
  <si>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</si>
  <si>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</si>
  <si>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</si>
  <si>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</si>
  <si>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</si>
  <si>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</si>
  <si>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</si>
  <si>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</si>
  <si>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</si>
  <si>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</si>
  <si>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</si>
  <si>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</si>
  <si>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</si>
  <si>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</si>
  <si>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</si>
  <si>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</si>
  <si>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</si>
  <si>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</si>
  <si>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</si>
  <si>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</si>
  <si>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</si>
  <si>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</si>
  <si>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</si>
  <si>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</si>
  <si>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</si>
  <si>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</si>
  <si>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</si>
  <si>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</si>
  <si>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pendidik dan tenaga kependidikan pada satuan pendidikan di suatu wilayah dan waktu tertentu</t>
  </si>
  <si>
    <t>Manfaat</t>
  </si>
  <si>
    <t>Dasar Perencanaan</t>
  </si>
  <si>
    <t>Interpretasi</t>
  </si>
  <si>
    <t>Semakin tinggi jumlah, semakin banyak pendidik dan tenaga kependidikan di suatu wilayah dan waktu tertentu</t>
  </si>
  <si>
    <t>Frekuensi update</t>
  </si>
  <si>
    <t>Tahunan</t>
  </si>
  <si>
    <t>Ukuran</t>
  </si>
  <si>
    <t>Satuan</t>
  </si>
  <si>
    <t>Orang</t>
  </si>
  <si>
    <t>Organisasi penanggung jawab</t>
  </si>
  <si>
    <t>Konsep</t>
  </si>
  <si>
    <t>Satuan Pendidikan</t>
  </si>
  <si>
    <t>Klasifikasi Penyajian</t>
  </si>
  <si>
    <t>Bentuk Satuan Pendidikan</t>
  </si>
  <si>
    <t>Status Satuan Pendidikan</t>
  </si>
  <si>
    <t>Jumlah Guru dan Tenaga Kependidikan, Tahun Ajaran 2025/2026</t>
  </si>
  <si>
    <t>Kementerian Pendidikan Dasar dan Menengah</t>
  </si>
  <si>
    <t>Tenaga Kependidikan</t>
  </si>
  <si>
    <t>DIKMAS*</t>
  </si>
  <si>
    <t>Catatan :</t>
  </si>
  <si>
    <t>*Data Pendidik pada Jenjang Pendidikan Masyarakat (Dikmas) sudah termasuk Pendidik dan Tenaga Kependidikan</t>
  </si>
  <si>
    <t>Banyaknya guru/pendidik dan tenaga kependidikan pada satuan pendidikan, tahun ajaran 2025/2026.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</si>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</sst>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3" fontId="3" fillId="2" borderId="1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3" fontId="6" fillId="0" borderId="12" xfId="0" applyNumberFormat="1" applyFont="1" applyBorder="1"/>
    <xf numFmtId="0" fontId="2" fillId="0" borderId="13" xfId="0" applyFont="1" applyBorder="1" applyAlignment="1">
      <alignment vertical="center" wrapText="1"/>
    </xf>
    <xf numFmtId="0" fontId="7" fillId="4" borderId="13" xfId="0" applyFont="1" applyFill="1" applyBorder="1" applyAlignment="1">
      <alignment wrapText="1"/>
    </xf>
    <xf numFmtId="0" fontId="8" fillId="4" borderId="13" xfId="0" applyFont="1" applyFill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3" xfId="0" applyFont="1" applyBorder="1" applyAlignment="1">
      <alignment vertical="top" wrapText="1"/>
    </xf>
    <xf numFmtId="3" fontId="3" fillId="2" borderId="15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10" fillId="0" borderId="0" xfId="0" applyFont="1"/>
    <xf numFmtId="0" fontId="9" fillId="4" borderId="13" xfId="0" applyFont="1" applyFill="1" applyBorder="1" applyAlignment="1">
      <alignment wrapText="1"/>
    </xf>
    <xf numFmtId="3" fontId="1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9" fillId="3" borderId="13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3" fontId="6" fillId="0" borderId="13" xfId="0" applyNumberFormat="1" applyFont="1" applyBorder="1" applyAlignment="1">
      <alignment vertical="center"/>
    </xf>
    <xf numFmtId="3" fontId="11" fillId="0" borderId="15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3" fontId="12" fillId="2" borderId="2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3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1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4" fillId="0" borderId="15" xfId="0" applyFont="1" applyBorder="1"/>
    <xf numFmtId="0" fontId="3" fillId="2" borderId="15" xfId="0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3" fontId="3" fillId="2" borderId="6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15" xfId="0" applyFont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 vertical="center"/>
    </xf>
    <xf numFmtId="3" fontId="3" fillId="2" borderId="15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17"/>
  <sheetViews>
    <sheetView workbookViewId="0"/>
  </sheetViews>
  <sheetFormatPr defaultColWidth="14.42578125" defaultRowHeight="15" customHeight="1"/>
  <cols>
    <col min="1" max="2" width="8.7109375" customWidth="1"/>
    <col min="3" max="3" width="28.5703125" customWidth="1"/>
    <col min="4" max="4" width="8.7109375" customWidth="1"/>
    <col min="5" max="5" width="9.28515625" customWidth="1"/>
    <col min="6" max="42" width="8.7109375" customWidth="1"/>
    <col min="43" max="43" width="27" customWidth="1"/>
    <col min="44" max="70" width="8.7109375" customWidth="1"/>
  </cols>
  <sheetData>
    <row r="1" spans="1:70" ht="14.25" customHeight="1">
      <c r="A1" s="18" t="s">
        <v>79</v>
      </c>
    </row>
    <row r="2" spans="1:70" ht="14.25" customHeight="1"/>
    <row r="3" spans="1:70" ht="14.25" customHeight="1">
      <c r="A3" s="35" t="s">
        <v>0</v>
      </c>
      <c r="B3" s="38" t="s">
        <v>1</v>
      </c>
      <c r="C3" s="35" t="s">
        <v>2</v>
      </c>
      <c r="D3" s="28" t="s">
        <v>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30"/>
      <c r="AO3" s="39" t="s">
        <v>0</v>
      </c>
      <c r="AP3" s="41" t="s">
        <v>1</v>
      </c>
      <c r="AQ3" s="39" t="s">
        <v>2</v>
      </c>
      <c r="AR3" s="53" t="s">
        <v>81</v>
      </c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</row>
    <row r="4" spans="1:70">
      <c r="A4" s="36"/>
      <c r="B4" s="36"/>
      <c r="C4" s="36"/>
      <c r="D4" s="28" t="s">
        <v>4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30"/>
      <c r="P4" s="28" t="s">
        <v>82</v>
      </c>
      <c r="Q4" s="29"/>
      <c r="R4" s="29"/>
      <c r="S4" s="29"/>
      <c r="T4" s="29"/>
      <c r="U4" s="29"/>
      <c r="V4" s="29"/>
      <c r="W4" s="29"/>
      <c r="X4" s="30"/>
      <c r="Y4" s="42" t="s">
        <v>5</v>
      </c>
      <c r="Z4" s="43"/>
      <c r="AA4" s="44"/>
      <c r="AB4" s="48" t="s">
        <v>6</v>
      </c>
      <c r="AC4" s="43"/>
      <c r="AD4" s="44"/>
      <c r="AE4" s="48" t="s">
        <v>7</v>
      </c>
      <c r="AF4" s="43"/>
      <c r="AG4" s="44"/>
      <c r="AH4" s="48" t="s">
        <v>8</v>
      </c>
      <c r="AI4" s="43"/>
      <c r="AJ4" s="44"/>
      <c r="AK4" s="42" t="s">
        <v>9</v>
      </c>
      <c r="AL4" s="43"/>
      <c r="AM4" s="44"/>
      <c r="AO4" s="40"/>
      <c r="AP4" s="40"/>
      <c r="AQ4" s="40"/>
      <c r="AR4" s="53" t="s">
        <v>4</v>
      </c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54" t="s">
        <v>5</v>
      </c>
      <c r="BE4" s="40"/>
      <c r="BF4" s="40"/>
      <c r="BG4" s="55" t="s">
        <v>6</v>
      </c>
      <c r="BH4" s="40"/>
      <c r="BI4" s="40"/>
      <c r="BJ4" s="55" t="s">
        <v>7</v>
      </c>
      <c r="BK4" s="40"/>
      <c r="BL4" s="40"/>
      <c r="BM4" s="55" t="s">
        <v>8</v>
      </c>
      <c r="BN4" s="40"/>
      <c r="BO4" s="40"/>
      <c r="BP4" s="54" t="s">
        <v>9</v>
      </c>
      <c r="BQ4" s="40"/>
      <c r="BR4" s="40"/>
    </row>
    <row r="5" spans="1:70" ht="30" customHeight="1">
      <c r="A5" s="36"/>
      <c r="B5" s="36"/>
      <c r="C5" s="36"/>
      <c r="D5" s="34" t="s">
        <v>10</v>
      </c>
      <c r="E5" s="29"/>
      <c r="F5" s="30"/>
      <c r="G5" s="34" t="s">
        <v>11</v>
      </c>
      <c r="H5" s="29"/>
      <c r="I5" s="30"/>
      <c r="J5" s="49" t="s">
        <v>12</v>
      </c>
      <c r="K5" s="50"/>
      <c r="L5" s="51"/>
      <c r="M5" s="34" t="s">
        <v>13</v>
      </c>
      <c r="N5" s="29"/>
      <c r="O5" s="30"/>
      <c r="P5" s="34" t="s">
        <v>14</v>
      </c>
      <c r="Q5" s="29"/>
      <c r="R5" s="30"/>
      <c r="S5" s="31" t="s">
        <v>15</v>
      </c>
      <c r="T5" s="32"/>
      <c r="U5" s="33"/>
      <c r="V5" s="34" t="s">
        <v>16</v>
      </c>
      <c r="W5" s="29"/>
      <c r="X5" s="30"/>
      <c r="Y5" s="45"/>
      <c r="Z5" s="46"/>
      <c r="AA5" s="47"/>
      <c r="AB5" s="45"/>
      <c r="AC5" s="46"/>
      <c r="AD5" s="47"/>
      <c r="AE5" s="45"/>
      <c r="AF5" s="46"/>
      <c r="AG5" s="47"/>
      <c r="AH5" s="45"/>
      <c r="AI5" s="46"/>
      <c r="AJ5" s="47"/>
      <c r="AK5" s="45"/>
      <c r="AL5" s="46"/>
      <c r="AM5" s="47"/>
      <c r="AO5" s="40"/>
      <c r="AP5" s="40"/>
      <c r="AQ5" s="40"/>
      <c r="AR5" s="54" t="s">
        <v>10</v>
      </c>
      <c r="AS5" s="40"/>
      <c r="AT5" s="40"/>
      <c r="AU5" s="54" t="s">
        <v>11</v>
      </c>
      <c r="AV5" s="40"/>
      <c r="AW5" s="40"/>
      <c r="AX5" s="55" t="s">
        <v>12</v>
      </c>
      <c r="AY5" s="56"/>
      <c r="AZ5" s="56"/>
      <c r="BA5" s="54" t="s">
        <v>13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</row>
    <row r="6" spans="1:70" ht="14.25" customHeight="1">
      <c r="A6" s="37"/>
      <c r="B6" s="37"/>
      <c r="C6" s="37"/>
      <c r="D6" s="1" t="s">
        <v>17</v>
      </c>
      <c r="E6" s="1" t="s">
        <v>18</v>
      </c>
      <c r="F6" s="1" t="s">
        <v>19</v>
      </c>
      <c r="G6" s="1" t="s">
        <v>17</v>
      </c>
      <c r="H6" s="1" t="s">
        <v>18</v>
      </c>
      <c r="I6" s="1" t="s">
        <v>19</v>
      </c>
      <c r="J6" s="1" t="s">
        <v>17</v>
      </c>
      <c r="K6" s="1" t="s">
        <v>18</v>
      </c>
      <c r="L6" s="1" t="s">
        <v>19</v>
      </c>
      <c r="M6" s="1" t="s">
        <v>17</v>
      </c>
      <c r="N6" s="1" t="s">
        <v>18</v>
      </c>
      <c r="O6" s="1" t="s">
        <v>19</v>
      </c>
      <c r="P6" s="1" t="s">
        <v>17</v>
      </c>
      <c r="Q6" s="1" t="s">
        <v>18</v>
      </c>
      <c r="R6" s="1" t="s">
        <v>19</v>
      </c>
      <c r="S6" s="1" t="s">
        <v>17</v>
      </c>
      <c r="T6" s="1" t="s">
        <v>18</v>
      </c>
      <c r="U6" s="1" t="s">
        <v>19</v>
      </c>
      <c r="V6" s="1" t="s">
        <v>17</v>
      </c>
      <c r="W6" s="1" t="s">
        <v>18</v>
      </c>
      <c r="X6" s="1" t="s">
        <v>19</v>
      </c>
      <c r="Y6" s="1" t="s">
        <v>17</v>
      </c>
      <c r="Z6" s="1" t="s">
        <v>18</v>
      </c>
      <c r="AA6" s="1" t="s">
        <v>19</v>
      </c>
      <c r="AB6" s="1" t="s">
        <v>17</v>
      </c>
      <c r="AC6" s="1" t="s">
        <v>18</v>
      </c>
      <c r="AD6" s="1" t="s">
        <v>19</v>
      </c>
      <c r="AE6" s="1" t="s">
        <v>17</v>
      </c>
      <c r="AF6" s="1" t="s">
        <v>18</v>
      </c>
      <c r="AG6" s="1" t="s">
        <v>19</v>
      </c>
      <c r="AH6" s="1" t="s">
        <v>17</v>
      </c>
      <c r="AI6" s="1" t="s">
        <v>18</v>
      </c>
      <c r="AJ6" s="1" t="s">
        <v>19</v>
      </c>
      <c r="AK6" s="1" t="s">
        <v>17</v>
      </c>
      <c r="AL6" s="1" t="s">
        <v>18</v>
      </c>
      <c r="AM6" s="1" t="s">
        <v>19</v>
      </c>
      <c r="AO6" s="40"/>
      <c r="AP6" s="40"/>
      <c r="AQ6" s="40"/>
      <c r="AR6" s="13" t="s">
        <v>17</v>
      </c>
      <c r="AS6" s="13" t="s">
        <v>18</v>
      </c>
      <c r="AT6" s="13" t="s">
        <v>19</v>
      </c>
      <c r="AU6" s="13" t="s">
        <v>17</v>
      </c>
      <c r="AV6" s="13" t="s">
        <v>18</v>
      </c>
      <c r="AW6" s="13" t="s">
        <v>19</v>
      </c>
      <c r="AX6" s="13" t="s">
        <v>17</v>
      </c>
      <c r="AY6" s="13" t="s">
        <v>18</v>
      </c>
      <c r="AZ6" s="13" t="s">
        <v>19</v>
      </c>
      <c r="BA6" s="13" t="s">
        <v>17</v>
      </c>
      <c r="BB6" s="13" t="s">
        <v>18</v>
      </c>
      <c r="BC6" s="13" t="s">
        <v>19</v>
      </c>
      <c r="BD6" s="13" t="s">
        <v>17</v>
      </c>
      <c r="BE6" s="13" t="s">
        <v>18</v>
      </c>
      <c r="BF6" s="13" t="s">
        <v>19</v>
      </c>
      <c r="BG6" s="13" t="s">
        <v>17</v>
      </c>
      <c r="BH6" s="13" t="s">
        <v>18</v>
      </c>
      <c r="BI6" s="13" t="s">
        <v>19</v>
      </c>
      <c r="BJ6" s="13" t="s">
        <v>17</v>
      </c>
      <c r="BK6" s="13" t="s">
        <v>18</v>
      </c>
      <c r="BL6" s="13" t="s">
        <v>19</v>
      </c>
      <c r="BM6" s="13" t="s">
        <v>17</v>
      </c>
      <c r="BN6" s="13" t="s">
        <v>18</v>
      </c>
      <c r="BO6" s="13" t="s">
        <v>19</v>
      </c>
      <c r="BP6" s="13" t="s">
        <v>17</v>
      </c>
      <c r="BQ6" s="13" t="s">
        <v>18</v>
      </c>
      <c r="BR6" s="13" t="s">
        <v>19</v>
      </c>
    </row>
    <row r="7" spans="1:70" ht="14.25" customHeight="1">
      <c r="A7" s="2">
        <v>1</v>
      </c>
      <c r="B7" s="3">
        <v>11</v>
      </c>
      <c r="C7" s="4" t="s">
        <v>25</v>
      </c>
      <c r="D7" s="7">
        <v>4516</v>
      </c>
      <c r="E7" s="7">
        <v>5918</v>
      </c>
      <c r="F7" s="7">
        <v>10434</v>
      </c>
      <c r="G7" s="7">
        <v>0</v>
      </c>
      <c r="H7" s="7">
        <v>3987</v>
      </c>
      <c r="I7" s="7">
        <f>G7+H7</f>
        <v>3987</v>
      </c>
      <c r="J7" s="7">
        <v>0</v>
      </c>
      <c r="K7" s="7">
        <v>215</v>
      </c>
      <c r="L7" s="7">
        <v>215</v>
      </c>
      <c r="M7" s="7">
        <v>0</v>
      </c>
      <c r="N7" s="7">
        <v>304</v>
      </c>
      <c r="O7" s="7">
        <v>304</v>
      </c>
      <c r="P7" s="7">
        <v>0</v>
      </c>
      <c r="Q7" s="7">
        <v>15</v>
      </c>
      <c r="R7" s="7">
        <v>15</v>
      </c>
      <c r="S7" s="7">
        <v>0</v>
      </c>
      <c r="T7" s="7">
        <v>1953</v>
      </c>
      <c r="U7" s="7">
        <v>1953</v>
      </c>
      <c r="V7" s="7">
        <v>405</v>
      </c>
      <c r="W7" s="7">
        <v>0</v>
      </c>
      <c r="X7" s="7">
        <v>405</v>
      </c>
      <c r="Y7" s="7">
        <v>44512</v>
      </c>
      <c r="Z7" s="7">
        <v>3149</v>
      </c>
      <c r="AA7" s="7">
        <v>47661</v>
      </c>
      <c r="AB7" s="7">
        <v>19202</v>
      </c>
      <c r="AC7" s="7">
        <v>4327</v>
      </c>
      <c r="AD7" s="7">
        <v>23529</v>
      </c>
      <c r="AE7" s="7">
        <v>12320</v>
      </c>
      <c r="AF7" s="7">
        <v>1623</v>
      </c>
      <c r="AG7" s="7">
        <v>13943</v>
      </c>
      <c r="AH7" s="7">
        <v>6449</v>
      </c>
      <c r="AI7" s="7">
        <v>770</v>
      </c>
      <c r="AJ7" s="7">
        <v>7219</v>
      </c>
      <c r="AK7" s="7">
        <v>783</v>
      </c>
      <c r="AL7" s="7">
        <v>426</v>
      </c>
      <c r="AM7" s="7">
        <v>1209</v>
      </c>
      <c r="AO7" s="14">
        <v>1</v>
      </c>
      <c r="AP7" s="15">
        <v>11</v>
      </c>
      <c r="AQ7" s="16" t="s">
        <v>25</v>
      </c>
      <c r="AR7" s="7">
        <v>569</v>
      </c>
      <c r="AS7" s="7">
        <v>717</v>
      </c>
      <c r="AT7" s="7">
        <v>1286</v>
      </c>
      <c r="AU7" s="7">
        <v>0</v>
      </c>
      <c r="AV7" s="7">
        <v>469</v>
      </c>
      <c r="AW7" s="7">
        <v>469</v>
      </c>
      <c r="AX7" s="7">
        <v>0</v>
      </c>
      <c r="AY7" s="7">
        <v>36</v>
      </c>
      <c r="AZ7" s="7">
        <v>36</v>
      </c>
      <c r="BA7" s="7">
        <v>0</v>
      </c>
      <c r="BB7" s="7">
        <v>43</v>
      </c>
      <c r="BC7" s="7">
        <v>43</v>
      </c>
      <c r="BD7" s="7">
        <v>4579</v>
      </c>
      <c r="BE7" s="7">
        <v>312</v>
      </c>
      <c r="BF7" s="7">
        <v>4891</v>
      </c>
      <c r="BG7" s="7">
        <v>4160</v>
      </c>
      <c r="BH7" s="7">
        <v>630</v>
      </c>
      <c r="BI7" s="7">
        <v>4790</v>
      </c>
      <c r="BJ7" s="7">
        <v>2610</v>
      </c>
      <c r="BK7" s="7">
        <v>263</v>
      </c>
      <c r="BL7" s="7">
        <v>2873</v>
      </c>
      <c r="BM7" s="7">
        <v>1275</v>
      </c>
      <c r="BN7" s="7">
        <v>154</v>
      </c>
      <c r="BO7" s="7">
        <v>1429</v>
      </c>
      <c r="BP7" s="7">
        <v>166</v>
      </c>
      <c r="BQ7" s="7">
        <v>106</v>
      </c>
      <c r="BR7" s="7">
        <v>272</v>
      </c>
    </row>
    <row r="8" spans="1:70" ht="14.25" customHeight="1">
      <c r="A8" s="2">
        <v>2</v>
      </c>
      <c r="B8" s="3">
        <v>12</v>
      </c>
      <c r="C8" s="4" t="s">
        <v>26</v>
      </c>
      <c r="D8" s="7">
        <v>1134</v>
      </c>
      <c r="E8" s="7">
        <v>9823</v>
      </c>
      <c r="F8" s="7">
        <v>10957</v>
      </c>
      <c r="G8" s="7">
        <v>9</v>
      </c>
      <c r="H8" s="7">
        <v>9171</v>
      </c>
      <c r="I8" s="7">
        <f t="shared" ref="I8:I45" si="0">G8+H8</f>
        <v>9180</v>
      </c>
      <c r="J8" s="7">
        <v>0</v>
      </c>
      <c r="K8" s="7">
        <v>75</v>
      </c>
      <c r="L8" s="7">
        <v>75</v>
      </c>
      <c r="M8" s="7">
        <v>0</v>
      </c>
      <c r="N8" s="7">
        <v>606</v>
      </c>
      <c r="O8" s="7">
        <v>606</v>
      </c>
      <c r="P8" s="7">
        <v>0</v>
      </c>
      <c r="Q8" s="7">
        <v>31</v>
      </c>
      <c r="R8" s="7">
        <v>31</v>
      </c>
      <c r="S8" s="7">
        <v>0</v>
      </c>
      <c r="T8" s="7">
        <v>2422</v>
      </c>
      <c r="U8" s="7">
        <v>2422</v>
      </c>
      <c r="V8" s="7">
        <v>240</v>
      </c>
      <c r="W8" s="7">
        <v>0</v>
      </c>
      <c r="X8" s="7">
        <v>240</v>
      </c>
      <c r="Y8" s="7">
        <v>86157</v>
      </c>
      <c r="Z8" s="7">
        <v>19389</v>
      </c>
      <c r="AA8" s="7">
        <v>105546</v>
      </c>
      <c r="AB8" s="7">
        <v>30738</v>
      </c>
      <c r="AC8" s="7">
        <v>13106</v>
      </c>
      <c r="AD8" s="7">
        <v>43844</v>
      </c>
      <c r="AE8" s="7">
        <v>15739</v>
      </c>
      <c r="AF8" s="7">
        <v>7862</v>
      </c>
      <c r="AG8" s="7">
        <v>23601</v>
      </c>
      <c r="AH8" s="7">
        <v>10799</v>
      </c>
      <c r="AI8" s="7">
        <v>9433</v>
      </c>
      <c r="AJ8" s="7">
        <v>20232</v>
      </c>
      <c r="AK8" s="7">
        <v>550</v>
      </c>
      <c r="AL8" s="7">
        <v>313</v>
      </c>
      <c r="AM8" s="7">
        <v>863</v>
      </c>
      <c r="AO8" s="14">
        <v>2</v>
      </c>
      <c r="AP8" s="15">
        <v>12</v>
      </c>
      <c r="AQ8" s="16" t="s">
        <v>26</v>
      </c>
      <c r="AR8" s="7">
        <v>154</v>
      </c>
      <c r="AS8" s="7">
        <v>937</v>
      </c>
      <c r="AT8" s="7">
        <v>1091</v>
      </c>
      <c r="AU8" s="7">
        <v>1</v>
      </c>
      <c r="AV8" s="7">
        <v>1017</v>
      </c>
      <c r="AW8" s="7">
        <v>1018</v>
      </c>
      <c r="AX8" s="7">
        <v>0</v>
      </c>
      <c r="AY8" s="7">
        <v>3</v>
      </c>
      <c r="AZ8" s="7">
        <v>3</v>
      </c>
      <c r="BA8" s="7">
        <v>0</v>
      </c>
      <c r="BB8" s="7">
        <v>51</v>
      </c>
      <c r="BC8" s="7">
        <v>51</v>
      </c>
      <c r="BD8" s="7">
        <v>6770</v>
      </c>
      <c r="BE8" s="7">
        <v>1354</v>
      </c>
      <c r="BF8" s="7">
        <v>8124</v>
      </c>
      <c r="BG8" s="7">
        <v>3161</v>
      </c>
      <c r="BH8" s="7">
        <v>1277</v>
      </c>
      <c r="BI8" s="7">
        <v>4438</v>
      </c>
      <c r="BJ8" s="7">
        <v>2094</v>
      </c>
      <c r="BK8" s="7">
        <v>892</v>
      </c>
      <c r="BL8" s="7">
        <v>2986</v>
      </c>
      <c r="BM8" s="7">
        <v>1267</v>
      </c>
      <c r="BN8" s="7">
        <v>1068</v>
      </c>
      <c r="BO8" s="7">
        <v>2335</v>
      </c>
      <c r="BP8" s="7">
        <v>42</v>
      </c>
      <c r="BQ8" s="7">
        <v>22</v>
      </c>
      <c r="BR8" s="7">
        <v>64</v>
      </c>
    </row>
    <row r="9" spans="1:70" ht="14.25" customHeight="1">
      <c r="A9" s="2">
        <v>3</v>
      </c>
      <c r="B9" s="3">
        <v>13</v>
      </c>
      <c r="C9" s="4" t="s">
        <v>27</v>
      </c>
      <c r="D9" s="7">
        <v>900</v>
      </c>
      <c r="E9" s="7">
        <v>6248</v>
      </c>
      <c r="F9" s="7">
        <v>7148</v>
      </c>
      <c r="G9" s="7">
        <v>10</v>
      </c>
      <c r="H9" s="7">
        <v>2714</v>
      </c>
      <c r="I9" s="7">
        <f t="shared" si="0"/>
        <v>2724</v>
      </c>
      <c r="J9" s="7">
        <v>2</v>
      </c>
      <c r="K9" s="7">
        <v>210</v>
      </c>
      <c r="L9" s="7">
        <v>212</v>
      </c>
      <c r="M9" s="7">
        <v>0</v>
      </c>
      <c r="N9" s="7">
        <v>499</v>
      </c>
      <c r="O9" s="7">
        <v>499</v>
      </c>
      <c r="P9" s="7">
        <v>0</v>
      </c>
      <c r="Q9" s="7">
        <v>0</v>
      </c>
      <c r="R9" s="7">
        <v>0</v>
      </c>
      <c r="S9" s="7">
        <v>0</v>
      </c>
      <c r="T9" s="7">
        <v>2035</v>
      </c>
      <c r="U9" s="7">
        <v>2035</v>
      </c>
      <c r="V9" s="7">
        <v>335</v>
      </c>
      <c r="W9" s="7">
        <v>0</v>
      </c>
      <c r="X9" s="7">
        <v>335</v>
      </c>
      <c r="Y9" s="7">
        <v>40177</v>
      </c>
      <c r="Z9" s="7">
        <v>5278</v>
      </c>
      <c r="AA9" s="7">
        <v>45455</v>
      </c>
      <c r="AB9" s="7">
        <v>14663</v>
      </c>
      <c r="AC9" s="7">
        <v>2304</v>
      </c>
      <c r="AD9" s="7">
        <v>16967</v>
      </c>
      <c r="AE9" s="7">
        <v>9216</v>
      </c>
      <c r="AF9" s="7">
        <v>1269</v>
      </c>
      <c r="AG9" s="7">
        <v>10485</v>
      </c>
      <c r="AH9" s="7">
        <v>5743</v>
      </c>
      <c r="AI9" s="7">
        <v>1188</v>
      </c>
      <c r="AJ9" s="7">
        <v>6931</v>
      </c>
      <c r="AK9" s="7">
        <v>587</v>
      </c>
      <c r="AL9" s="7">
        <v>957</v>
      </c>
      <c r="AM9" s="7">
        <v>1544</v>
      </c>
      <c r="AO9" s="14">
        <v>3</v>
      </c>
      <c r="AP9" s="15">
        <v>13</v>
      </c>
      <c r="AQ9" s="16" t="s">
        <v>27</v>
      </c>
      <c r="AR9" s="7">
        <v>105</v>
      </c>
      <c r="AS9" s="7">
        <v>487</v>
      </c>
      <c r="AT9" s="7">
        <v>592</v>
      </c>
      <c r="AU9" s="7">
        <v>3</v>
      </c>
      <c r="AV9" s="7">
        <v>263</v>
      </c>
      <c r="AW9" s="7">
        <v>266</v>
      </c>
      <c r="AX9" s="7">
        <v>0</v>
      </c>
      <c r="AY9" s="7">
        <v>15</v>
      </c>
      <c r="AZ9" s="7">
        <v>15</v>
      </c>
      <c r="BA9" s="7">
        <v>0</v>
      </c>
      <c r="BB9" s="7">
        <v>70</v>
      </c>
      <c r="BC9" s="7">
        <v>70</v>
      </c>
      <c r="BD9" s="7">
        <v>5313</v>
      </c>
      <c r="BE9" s="7">
        <v>633</v>
      </c>
      <c r="BF9" s="7">
        <v>5946</v>
      </c>
      <c r="BG9" s="7">
        <v>2319</v>
      </c>
      <c r="BH9" s="7">
        <v>341</v>
      </c>
      <c r="BI9" s="7">
        <v>2660</v>
      </c>
      <c r="BJ9" s="7">
        <v>1699</v>
      </c>
      <c r="BK9" s="7">
        <v>217</v>
      </c>
      <c r="BL9" s="7">
        <v>1916</v>
      </c>
      <c r="BM9" s="7">
        <v>1027</v>
      </c>
      <c r="BN9" s="7">
        <v>200</v>
      </c>
      <c r="BO9" s="7">
        <v>1227</v>
      </c>
      <c r="BP9" s="7">
        <v>58</v>
      </c>
      <c r="BQ9" s="7">
        <v>154</v>
      </c>
      <c r="BR9" s="7">
        <v>212</v>
      </c>
    </row>
    <row r="10" spans="1:70" ht="14.25" customHeight="1">
      <c r="A10" s="2">
        <v>4</v>
      </c>
      <c r="B10" s="3">
        <v>14</v>
      </c>
      <c r="C10" s="4" t="s">
        <v>28</v>
      </c>
      <c r="D10" s="7">
        <v>1086</v>
      </c>
      <c r="E10" s="7">
        <v>7479</v>
      </c>
      <c r="F10" s="7">
        <v>8565</v>
      </c>
      <c r="G10" s="7">
        <v>0</v>
      </c>
      <c r="H10" s="7">
        <v>3926</v>
      </c>
      <c r="I10" s="7">
        <f t="shared" si="0"/>
        <v>3926</v>
      </c>
      <c r="J10" s="7">
        <v>0</v>
      </c>
      <c r="K10" s="7">
        <v>221</v>
      </c>
      <c r="L10" s="7">
        <v>221</v>
      </c>
      <c r="M10" s="7">
        <v>0</v>
      </c>
      <c r="N10" s="7">
        <v>209</v>
      </c>
      <c r="O10" s="7">
        <v>209</v>
      </c>
      <c r="P10" s="7">
        <v>0</v>
      </c>
      <c r="Q10" s="7">
        <v>12</v>
      </c>
      <c r="R10" s="7">
        <v>12</v>
      </c>
      <c r="S10" s="7">
        <v>0</v>
      </c>
      <c r="T10" s="7">
        <v>1378</v>
      </c>
      <c r="U10" s="7">
        <v>1378</v>
      </c>
      <c r="V10" s="7">
        <v>138</v>
      </c>
      <c r="W10" s="7">
        <v>0</v>
      </c>
      <c r="X10" s="7">
        <v>138</v>
      </c>
      <c r="Y10" s="7">
        <v>41875</v>
      </c>
      <c r="Z10" s="7">
        <v>9375</v>
      </c>
      <c r="AA10" s="7">
        <v>51250</v>
      </c>
      <c r="AB10" s="7">
        <v>16294</v>
      </c>
      <c r="AC10" s="7">
        <v>4578</v>
      </c>
      <c r="AD10" s="7">
        <v>20872</v>
      </c>
      <c r="AE10" s="7">
        <v>10122</v>
      </c>
      <c r="AF10" s="7">
        <v>2069</v>
      </c>
      <c r="AG10" s="7">
        <v>12191</v>
      </c>
      <c r="AH10" s="7">
        <v>5367</v>
      </c>
      <c r="AI10" s="7">
        <v>2865</v>
      </c>
      <c r="AJ10" s="7">
        <v>8232</v>
      </c>
      <c r="AK10" s="7">
        <v>374</v>
      </c>
      <c r="AL10" s="7">
        <v>269</v>
      </c>
      <c r="AM10" s="7">
        <v>643</v>
      </c>
      <c r="AO10" s="14">
        <v>4</v>
      </c>
      <c r="AP10" s="15">
        <v>14</v>
      </c>
      <c r="AQ10" s="16" t="s">
        <v>28</v>
      </c>
      <c r="AR10" s="7">
        <v>138</v>
      </c>
      <c r="AS10" s="7">
        <v>740</v>
      </c>
      <c r="AT10" s="7">
        <v>878</v>
      </c>
      <c r="AU10" s="7">
        <v>0</v>
      </c>
      <c r="AV10" s="7">
        <v>324</v>
      </c>
      <c r="AW10" s="7">
        <v>324</v>
      </c>
      <c r="AX10" s="7">
        <v>0</v>
      </c>
      <c r="AY10" s="7">
        <v>9</v>
      </c>
      <c r="AZ10" s="7">
        <v>9</v>
      </c>
      <c r="BA10" s="7">
        <v>0</v>
      </c>
      <c r="BB10" s="7">
        <v>27</v>
      </c>
      <c r="BC10" s="7">
        <v>27</v>
      </c>
      <c r="BD10" s="7">
        <v>4296</v>
      </c>
      <c r="BE10" s="7">
        <v>719</v>
      </c>
      <c r="BF10" s="7">
        <v>5015</v>
      </c>
      <c r="BG10" s="7">
        <v>2602</v>
      </c>
      <c r="BH10" s="7">
        <v>546</v>
      </c>
      <c r="BI10" s="7">
        <v>3148</v>
      </c>
      <c r="BJ10" s="7">
        <v>1910</v>
      </c>
      <c r="BK10" s="7">
        <v>262</v>
      </c>
      <c r="BL10" s="7">
        <v>2172</v>
      </c>
      <c r="BM10" s="7">
        <v>916</v>
      </c>
      <c r="BN10" s="7">
        <v>421</v>
      </c>
      <c r="BO10" s="7">
        <v>1337</v>
      </c>
      <c r="BP10" s="7">
        <v>50</v>
      </c>
      <c r="BQ10" s="7">
        <v>31</v>
      </c>
      <c r="BR10" s="7">
        <v>81</v>
      </c>
    </row>
    <row r="11" spans="1:70" ht="14.25" customHeight="1">
      <c r="A11" s="2">
        <v>5</v>
      </c>
      <c r="B11" s="3">
        <v>15</v>
      </c>
      <c r="C11" s="4" t="s">
        <v>29</v>
      </c>
      <c r="D11" s="7">
        <v>1015</v>
      </c>
      <c r="E11" s="7">
        <v>3651</v>
      </c>
      <c r="F11" s="7">
        <v>4666</v>
      </c>
      <c r="G11" s="7">
        <v>12</v>
      </c>
      <c r="H11" s="7">
        <v>3751</v>
      </c>
      <c r="I11" s="7">
        <f t="shared" si="0"/>
        <v>3763</v>
      </c>
      <c r="J11" s="7">
        <v>0</v>
      </c>
      <c r="K11" s="7">
        <v>153</v>
      </c>
      <c r="L11" s="7">
        <v>153</v>
      </c>
      <c r="M11" s="7">
        <v>0</v>
      </c>
      <c r="N11" s="7">
        <v>379</v>
      </c>
      <c r="O11" s="7">
        <v>379</v>
      </c>
      <c r="P11" s="7">
        <v>0</v>
      </c>
      <c r="Q11" s="7">
        <v>1</v>
      </c>
      <c r="R11" s="7">
        <v>1</v>
      </c>
      <c r="S11" s="7">
        <v>0</v>
      </c>
      <c r="T11" s="7">
        <v>873</v>
      </c>
      <c r="U11" s="7">
        <v>873</v>
      </c>
      <c r="V11" s="7">
        <v>110</v>
      </c>
      <c r="W11" s="7">
        <v>0</v>
      </c>
      <c r="X11" s="7">
        <v>110</v>
      </c>
      <c r="Y11" s="7">
        <v>25682</v>
      </c>
      <c r="Z11" s="7">
        <v>2434</v>
      </c>
      <c r="AA11" s="7">
        <v>28116</v>
      </c>
      <c r="AB11" s="7">
        <v>9472</v>
      </c>
      <c r="AC11" s="7">
        <v>1535</v>
      </c>
      <c r="AD11" s="7">
        <v>11007</v>
      </c>
      <c r="AE11" s="7">
        <v>4909</v>
      </c>
      <c r="AF11" s="7">
        <v>805</v>
      </c>
      <c r="AG11" s="7">
        <v>5714</v>
      </c>
      <c r="AH11" s="7">
        <v>3451</v>
      </c>
      <c r="AI11" s="7">
        <v>872</v>
      </c>
      <c r="AJ11" s="7">
        <v>4323</v>
      </c>
      <c r="AK11" s="7">
        <v>360</v>
      </c>
      <c r="AL11" s="7">
        <v>77</v>
      </c>
      <c r="AM11" s="7">
        <v>437</v>
      </c>
      <c r="AO11" s="14">
        <v>5</v>
      </c>
      <c r="AP11" s="15">
        <v>15</v>
      </c>
      <c r="AQ11" s="16" t="s">
        <v>29</v>
      </c>
      <c r="AR11" s="7">
        <v>92</v>
      </c>
      <c r="AS11" s="7">
        <v>232</v>
      </c>
      <c r="AT11" s="7">
        <v>324</v>
      </c>
      <c r="AU11" s="7">
        <v>1</v>
      </c>
      <c r="AV11" s="7">
        <v>204</v>
      </c>
      <c r="AW11" s="7">
        <v>205</v>
      </c>
      <c r="AX11" s="7">
        <v>0</v>
      </c>
      <c r="AY11" s="7">
        <v>6</v>
      </c>
      <c r="AZ11" s="7">
        <v>6</v>
      </c>
      <c r="BA11" s="7">
        <v>0</v>
      </c>
      <c r="BB11" s="7">
        <v>20</v>
      </c>
      <c r="BC11" s="7">
        <v>20</v>
      </c>
      <c r="BD11" s="7">
        <v>3409</v>
      </c>
      <c r="BE11" s="7">
        <v>223</v>
      </c>
      <c r="BF11" s="7">
        <v>3632</v>
      </c>
      <c r="BG11" s="7">
        <v>1783</v>
      </c>
      <c r="BH11" s="7">
        <v>200</v>
      </c>
      <c r="BI11" s="7">
        <v>1983</v>
      </c>
      <c r="BJ11" s="7">
        <v>1176</v>
      </c>
      <c r="BK11" s="7">
        <v>119</v>
      </c>
      <c r="BL11" s="7">
        <v>1295</v>
      </c>
      <c r="BM11" s="7">
        <v>830</v>
      </c>
      <c r="BN11" s="7">
        <v>148</v>
      </c>
      <c r="BO11" s="7">
        <v>978</v>
      </c>
      <c r="BP11" s="7">
        <v>74</v>
      </c>
      <c r="BQ11" s="7">
        <v>12</v>
      </c>
      <c r="BR11" s="7">
        <v>86</v>
      </c>
    </row>
    <row r="12" spans="1:70" ht="14.25" customHeight="1">
      <c r="A12" s="2">
        <v>6</v>
      </c>
      <c r="B12" s="3">
        <v>16</v>
      </c>
      <c r="C12" s="4" t="s">
        <v>30</v>
      </c>
      <c r="D12" s="7">
        <v>913</v>
      </c>
      <c r="E12" s="7">
        <v>7024</v>
      </c>
      <c r="F12" s="7">
        <v>7937</v>
      </c>
      <c r="G12" s="7">
        <v>3</v>
      </c>
      <c r="H12" s="7">
        <v>6950</v>
      </c>
      <c r="I12" s="7">
        <f t="shared" si="0"/>
        <v>6953</v>
      </c>
      <c r="J12" s="7">
        <v>0</v>
      </c>
      <c r="K12" s="7">
        <v>29</v>
      </c>
      <c r="L12" s="7">
        <v>29</v>
      </c>
      <c r="M12" s="7">
        <v>0</v>
      </c>
      <c r="N12" s="7">
        <v>274</v>
      </c>
      <c r="O12" s="7">
        <v>274</v>
      </c>
      <c r="P12" s="7">
        <v>0</v>
      </c>
      <c r="Q12" s="7">
        <v>8</v>
      </c>
      <c r="R12" s="7">
        <v>8</v>
      </c>
      <c r="S12" s="7">
        <v>0</v>
      </c>
      <c r="T12" s="7">
        <v>1446</v>
      </c>
      <c r="U12" s="7">
        <v>1446</v>
      </c>
      <c r="V12" s="7">
        <v>193</v>
      </c>
      <c r="W12" s="7">
        <v>0</v>
      </c>
      <c r="X12" s="7">
        <v>193</v>
      </c>
      <c r="Y12" s="7">
        <v>51187</v>
      </c>
      <c r="Z12" s="7">
        <v>6285</v>
      </c>
      <c r="AA12" s="7">
        <v>57472</v>
      </c>
      <c r="AB12" s="7">
        <v>20620</v>
      </c>
      <c r="AC12" s="7">
        <v>5034</v>
      </c>
      <c r="AD12" s="7">
        <v>25654</v>
      </c>
      <c r="AE12" s="7">
        <v>11659</v>
      </c>
      <c r="AF12" s="7">
        <v>3399</v>
      </c>
      <c r="AG12" s="7">
        <v>15058</v>
      </c>
      <c r="AH12" s="7">
        <v>5740</v>
      </c>
      <c r="AI12" s="7">
        <v>2996</v>
      </c>
      <c r="AJ12" s="7">
        <v>8736</v>
      </c>
      <c r="AK12" s="7">
        <v>301</v>
      </c>
      <c r="AL12" s="7">
        <v>240</v>
      </c>
      <c r="AM12" s="7">
        <v>541</v>
      </c>
      <c r="AO12" s="14">
        <v>6</v>
      </c>
      <c r="AP12" s="15">
        <v>16</v>
      </c>
      <c r="AQ12" s="16" t="s">
        <v>30</v>
      </c>
      <c r="AR12" s="7">
        <v>118</v>
      </c>
      <c r="AS12" s="7">
        <v>879</v>
      </c>
      <c r="AT12" s="7">
        <v>997</v>
      </c>
      <c r="AU12" s="7">
        <v>0</v>
      </c>
      <c r="AV12" s="7">
        <v>870</v>
      </c>
      <c r="AW12" s="7">
        <v>870</v>
      </c>
      <c r="AX12" s="7">
        <v>0</v>
      </c>
      <c r="AY12" s="7">
        <v>4</v>
      </c>
      <c r="AZ12" s="7">
        <v>4</v>
      </c>
      <c r="BA12" s="7">
        <v>0</v>
      </c>
      <c r="BB12" s="7">
        <v>43</v>
      </c>
      <c r="BC12" s="7">
        <v>43</v>
      </c>
      <c r="BD12" s="7">
        <v>7451</v>
      </c>
      <c r="BE12" s="7">
        <v>728</v>
      </c>
      <c r="BF12" s="7">
        <v>8179</v>
      </c>
      <c r="BG12" s="7">
        <v>3773</v>
      </c>
      <c r="BH12" s="7">
        <v>930</v>
      </c>
      <c r="BI12" s="7">
        <v>4703</v>
      </c>
      <c r="BJ12" s="7">
        <v>2342</v>
      </c>
      <c r="BK12" s="7">
        <v>671</v>
      </c>
      <c r="BL12" s="7">
        <v>3013</v>
      </c>
      <c r="BM12" s="7">
        <v>1198</v>
      </c>
      <c r="BN12" s="7">
        <v>593</v>
      </c>
      <c r="BO12" s="7">
        <v>1791</v>
      </c>
      <c r="BP12" s="7">
        <v>74</v>
      </c>
      <c r="BQ12" s="7">
        <v>25</v>
      </c>
      <c r="BR12" s="7">
        <v>99</v>
      </c>
    </row>
    <row r="13" spans="1:70" ht="14.25" customHeight="1">
      <c r="A13" s="2">
        <v>7</v>
      </c>
      <c r="B13" s="3">
        <v>17</v>
      </c>
      <c r="C13" s="4" t="s">
        <v>44</v>
      </c>
      <c r="D13" s="7">
        <v>788</v>
      </c>
      <c r="E13" s="7">
        <v>2961</v>
      </c>
      <c r="F13" s="7">
        <v>3749</v>
      </c>
      <c r="G13" s="7">
        <v>2</v>
      </c>
      <c r="H13" s="7">
        <v>1312</v>
      </c>
      <c r="I13" s="7">
        <f t="shared" si="0"/>
        <v>1314</v>
      </c>
      <c r="J13" s="7">
        <v>0</v>
      </c>
      <c r="K13" s="7">
        <v>133</v>
      </c>
      <c r="L13" s="7">
        <v>133</v>
      </c>
      <c r="M13" s="7">
        <v>0</v>
      </c>
      <c r="N13" s="7">
        <v>114</v>
      </c>
      <c r="O13" s="7">
        <v>114</v>
      </c>
      <c r="P13" s="7">
        <v>0</v>
      </c>
      <c r="Q13" s="7">
        <v>0</v>
      </c>
      <c r="R13" s="7">
        <v>0</v>
      </c>
      <c r="S13" s="7">
        <v>0</v>
      </c>
      <c r="T13" s="7">
        <v>854</v>
      </c>
      <c r="U13" s="7">
        <v>854</v>
      </c>
      <c r="V13" s="7">
        <v>157</v>
      </c>
      <c r="W13" s="7">
        <v>0</v>
      </c>
      <c r="X13" s="7">
        <v>157</v>
      </c>
      <c r="Y13" s="7">
        <v>14756</v>
      </c>
      <c r="Z13" s="7">
        <v>1904</v>
      </c>
      <c r="AA13" s="7">
        <v>16660</v>
      </c>
      <c r="AB13" s="7">
        <v>7380</v>
      </c>
      <c r="AC13" s="7">
        <v>858</v>
      </c>
      <c r="AD13" s="7">
        <v>8238</v>
      </c>
      <c r="AE13" s="7">
        <v>3920</v>
      </c>
      <c r="AF13" s="7">
        <v>318</v>
      </c>
      <c r="AG13" s="7">
        <v>4238</v>
      </c>
      <c r="AH13" s="7">
        <v>2601</v>
      </c>
      <c r="AI13" s="7">
        <v>348</v>
      </c>
      <c r="AJ13" s="7">
        <v>2949</v>
      </c>
      <c r="AK13" s="7">
        <v>294</v>
      </c>
      <c r="AL13" s="7">
        <v>49</v>
      </c>
      <c r="AM13" s="7">
        <v>343</v>
      </c>
      <c r="AO13" s="14">
        <v>7</v>
      </c>
      <c r="AP13" s="15">
        <v>17</v>
      </c>
      <c r="AQ13" s="16" t="s">
        <v>44</v>
      </c>
      <c r="AR13" s="7">
        <v>97</v>
      </c>
      <c r="AS13" s="7">
        <v>320</v>
      </c>
      <c r="AT13" s="7">
        <v>417</v>
      </c>
      <c r="AU13" s="7">
        <v>0</v>
      </c>
      <c r="AV13" s="7">
        <v>167</v>
      </c>
      <c r="AW13" s="7">
        <v>167</v>
      </c>
      <c r="AX13" s="7">
        <v>0</v>
      </c>
      <c r="AY13" s="7">
        <v>5</v>
      </c>
      <c r="AZ13" s="7">
        <v>5</v>
      </c>
      <c r="BA13" s="7">
        <v>0</v>
      </c>
      <c r="BB13" s="7">
        <v>9</v>
      </c>
      <c r="BC13" s="7">
        <v>9</v>
      </c>
      <c r="BD13" s="7">
        <v>1544</v>
      </c>
      <c r="BE13" s="7">
        <v>171</v>
      </c>
      <c r="BF13" s="7">
        <v>1715</v>
      </c>
      <c r="BG13" s="7">
        <v>1197</v>
      </c>
      <c r="BH13" s="7">
        <v>102</v>
      </c>
      <c r="BI13" s="7">
        <v>1299</v>
      </c>
      <c r="BJ13" s="7">
        <v>1013</v>
      </c>
      <c r="BK13" s="7">
        <v>51</v>
      </c>
      <c r="BL13" s="7">
        <v>1064</v>
      </c>
      <c r="BM13" s="7">
        <v>553</v>
      </c>
      <c r="BN13" s="7">
        <v>63</v>
      </c>
      <c r="BO13" s="7">
        <v>616</v>
      </c>
      <c r="BP13" s="7">
        <v>45</v>
      </c>
      <c r="BQ13" s="7">
        <v>1</v>
      </c>
      <c r="BR13" s="7">
        <v>46</v>
      </c>
    </row>
    <row r="14" spans="1:70" ht="14.25" customHeight="1">
      <c r="A14" s="2">
        <v>8</v>
      </c>
      <c r="B14" s="3">
        <v>18</v>
      </c>
      <c r="C14" s="4" t="s">
        <v>31</v>
      </c>
      <c r="D14" s="7">
        <v>639</v>
      </c>
      <c r="E14" s="7">
        <v>10223</v>
      </c>
      <c r="F14" s="7">
        <v>10862</v>
      </c>
      <c r="G14" s="7">
        <v>4</v>
      </c>
      <c r="H14" s="7">
        <v>5275</v>
      </c>
      <c r="I14" s="7">
        <f t="shared" si="0"/>
        <v>5279</v>
      </c>
      <c r="J14" s="7">
        <v>0</v>
      </c>
      <c r="K14" s="7">
        <v>92</v>
      </c>
      <c r="L14" s="7">
        <v>92</v>
      </c>
      <c r="M14" s="7">
        <v>0</v>
      </c>
      <c r="N14" s="7">
        <v>419</v>
      </c>
      <c r="O14" s="7">
        <v>419</v>
      </c>
      <c r="P14" s="7">
        <v>0</v>
      </c>
      <c r="Q14" s="7">
        <v>35</v>
      </c>
      <c r="R14" s="7">
        <v>35</v>
      </c>
      <c r="S14" s="7">
        <v>0</v>
      </c>
      <c r="T14" s="7">
        <v>1647</v>
      </c>
      <c r="U14" s="7">
        <v>1647</v>
      </c>
      <c r="V14" s="7">
        <v>187</v>
      </c>
      <c r="W14" s="7">
        <v>0</v>
      </c>
      <c r="X14" s="7">
        <v>187</v>
      </c>
      <c r="Y14" s="7">
        <v>48288</v>
      </c>
      <c r="Z14" s="7">
        <v>5781</v>
      </c>
      <c r="AA14" s="7">
        <v>54069</v>
      </c>
      <c r="AB14" s="7">
        <v>16200</v>
      </c>
      <c r="AC14" s="7">
        <v>7059</v>
      </c>
      <c r="AD14" s="7">
        <v>23259</v>
      </c>
      <c r="AE14" s="7">
        <v>9053</v>
      </c>
      <c r="AF14" s="7">
        <v>3184</v>
      </c>
      <c r="AG14" s="7">
        <v>12237</v>
      </c>
      <c r="AH14" s="7">
        <v>5347</v>
      </c>
      <c r="AI14" s="7">
        <v>5176</v>
      </c>
      <c r="AJ14" s="7">
        <v>10523</v>
      </c>
      <c r="AK14" s="7">
        <v>294</v>
      </c>
      <c r="AL14" s="7">
        <v>152</v>
      </c>
      <c r="AM14" s="7">
        <v>446</v>
      </c>
      <c r="AO14" s="14">
        <v>8</v>
      </c>
      <c r="AP14" s="15">
        <v>18</v>
      </c>
      <c r="AQ14" s="16" t="s">
        <v>31</v>
      </c>
      <c r="AR14" s="7">
        <v>51</v>
      </c>
      <c r="AS14" s="7">
        <v>686</v>
      </c>
      <c r="AT14" s="7">
        <v>737</v>
      </c>
      <c r="AU14" s="7">
        <v>0</v>
      </c>
      <c r="AV14" s="7">
        <v>521</v>
      </c>
      <c r="AW14" s="7">
        <v>521</v>
      </c>
      <c r="AX14" s="7">
        <v>0</v>
      </c>
      <c r="AY14" s="7">
        <v>10</v>
      </c>
      <c r="AZ14" s="7">
        <v>10</v>
      </c>
      <c r="BA14" s="7">
        <v>0</v>
      </c>
      <c r="BB14" s="7">
        <v>64</v>
      </c>
      <c r="BC14" s="7">
        <v>64</v>
      </c>
      <c r="BD14" s="7">
        <v>3766</v>
      </c>
      <c r="BE14" s="7">
        <v>499</v>
      </c>
      <c r="BF14" s="7">
        <v>4265</v>
      </c>
      <c r="BG14" s="7">
        <v>2542</v>
      </c>
      <c r="BH14" s="7">
        <v>936</v>
      </c>
      <c r="BI14" s="7">
        <v>3478</v>
      </c>
      <c r="BJ14" s="7">
        <v>1709</v>
      </c>
      <c r="BK14" s="7">
        <v>512</v>
      </c>
      <c r="BL14" s="7">
        <v>2221</v>
      </c>
      <c r="BM14" s="7">
        <v>1112</v>
      </c>
      <c r="BN14" s="7">
        <v>986</v>
      </c>
      <c r="BO14" s="7">
        <v>2098</v>
      </c>
      <c r="BP14" s="7">
        <v>43</v>
      </c>
      <c r="BQ14" s="7">
        <v>39</v>
      </c>
      <c r="BR14" s="7">
        <v>82</v>
      </c>
    </row>
    <row r="15" spans="1:70" ht="14.25" customHeight="1">
      <c r="A15" s="2">
        <v>9</v>
      </c>
      <c r="B15" s="3">
        <v>19</v>
      </c>
      <c r="C15" s="4" t="s">
        <v>47</v>
      </c>
      <c r="D15" s="7">
        <v>407</v>
      </c>
      <c r="E15" s="7">
        <v>1038</v>
      </c>
      <c r="F15" s="7">
        <v>1445</v>
      </c>
      <c r="G15" s="7">
        <v>2</v>
      </c>
      <c r="H15" s="7">
        <v>932</v>
      </c>
      <c r="I15" s="7">
        <f t="shared" si="0"/>
        <v>934</v>
      </c>
      <c r="J15" s="7">
        <v>0</v>
      </c>
      <c r="K15" s="7">
        <v>128</v>
      </c>
      <c r="L15" s="7">
        <v>128</v>
      </c>
      <c r="M15" s="7">
        <v>0</v>
      </c>
      <c r="N15" s="7">
        <v>129</v>
      </c>
      <c r="O15" s="7">
        <v>129</v>
      </c>
      <c r="P15" s="7">
        <v>0</v>
      </c>
      <c r="Q15" s="7">
        <v>8</v>
      </c>
      <c r="R15" s="7">
        <v>8</v>
      </c>
      <c r="S15" s="7">
        <v>0</v>
      </c>
      <c r="T15" s="7">
        <v>323</v>
      </c>
      <c r="U15" s="7">
        <v>323</v>
      </c>
      <c r="V15" s="7">
        <v>107</v>
      </c>
      <c r="W15" s="7">
        <v>0</v>
      </c>
      <c r="X15" s="7">
        <v>107</v>
      </c>
      <c r="Y15" s="7">
        <v>7863</v>
      </c>
      <c r="Z15" s="7">
        <v>995</v>
      </c>
      <c r="AA15" s="7">
        <v>8858</v>
      </c>
      <c r="AB15" s="7">
        <v>3009</v>
      </c>
      <c r="AC15" s="7">
        <v>687</v>
      </c>
      <c r="AD15" s="7">
        <v>3696</v>
      </c>
      <c r="AE15" s="7">
        <v>1485</v>
      </c>
      <c r="AF15" s="7">
        <v>402</v>
      </c>
      <c r="AG15" s="7">
        <v>1887</v>
      </c>
      <c r="AH15" s="7">
        <v>1292</v>
      </c>
      <c r="AI15" s="7">
        <v>346</v>
      </c>
      <c r="AJ15" s="7">
        <v>1638</v>
      </c>
      <c r="AK15" s="7">
        <v>145</v>
      </c>
      <c r="AL15" s="7">
        <v>28</v>
      </c>
      <c r="AM15" s="7">
        <v>173</v>
      </c>
      <c r="AO15" s="14">
        <v>9</v>
      </c>
      <c r="AP15" s="15">
        <v>19</v>
      </c>
      <c r="AQ15" s="16" t="s">
        <v>47</v>
      </c>
      <c r="AR15" s="7">
        <v>125</v>
      </c>
      <c r="AS15" s="7">
        <v>144</v>
      </c>
      <c r="AT15" s="7">
        <v>269</v>
      </c>
      <c r="AU15" s="7">
        <v>0</v>
      </c>
      <c r="AV15" s="7">
        <v>55</v>
      </c>
      <c r="AW15" s="7">
        <v>55</v>
      </c>
      <c r="AX15" s="7">
        <v>0</v>
      </c>
      <c r="AY15" s="7">
        <v>13</v>
      </c>
      <c r="AZ15" s="7">
        <v>13</v>
      </c>
      <c r="BA15" s="7">
        <v>0</v>
      </c>
      <c r="BB15" s="7">
        <v>6</v>
      </c>
      <c r="BC15" s="7">
        <v>6</v>
      </c>
      <c r="BD15" s="7">
        <v>1824</v>
      </c>
      <c r="BE15" s="7">
        <v>197</v>
      </c>
      <c r="BF15" s="7">
        <v>2021</v>
      </c>
      <c r="BG15" s="7">
        <v>849</v>
      </c>
      <c r="BH15" s="7">
        <v>173</v>
      </c>
      <c r="BI15" s="7">
        <v>1022</v>
      </c>
      <c r="BJ15" s="7">
        <v>342</v>
      </c>
      <c r="BK15" s="7">
        <v>81</v>
      </c>
      <c r="BL15" s="7">
        <v>423</v>
      </c>
      <c r="BM15" s="7">
        <v>317</v>
      </c>
      <c r="BN15" s="7">
        <v>98</v>
      </c>
      <c r="BO15" s="7">
        <v>415</v>
      </c>
      <c r="BP15" s="7">
        <v>39</v>
      </c>
      <c r="BQ15" s="7">
        <v>2</v>
      </c>
      <c r="BR15" s="7">
        <v>41</v>
      </c>
    </row>
    <row r="16" spans="1:70" ht="14.25" customHeight="1">
      <c r="A16" s="2">
        <v>10</v>
      </c>
      <c r="B16" s="3">
        <v>21</v>
      </c>
      <c r="C16" s="4" t="s">
        <v>49</v>
      </c>
      <c r="D16" s="7">
        <v>371</v>
      </c>
      <c r="E16" s="7">
        <v>1816</v>
      </c>
      <c r="F16" s="7">
        <v>2187</v>
      </c>
      <c r="G16" s="7">
        <v>0</v>
      </c>
      <c r="H16" s="7">
        <v>809</v>
      </c>
      <c r="I16" s="7">
        <f t="shared" si="0"/>
        <v>809</v>
      </c>
      <c r="J16" s="7">
        <v>0</v>
      </c>
      <c r="K16" s="7">
        <v>43</v>
      </c>
      <c r="L16" s="7">
        <v>43</v>
      </c>
      <c r="M16" s="7">
        <v>0</v>
      </c>
      <c r="N16" s="7">
        <v>305</v>
      </c>
      <c r="O16" s="7">
        <v>305</v>
      </c>
      <c r="P16" s="7">
        <v>0</v>
      </c>
      <c r="Q16" s="7">
        <v>1</v>
      </c>
      <c r="R16" s="7">
        <v>1</v>
      </c>
      <c r="S16" s="7">
        <v>0</v>
      </c>
      <c r="T16" s="7">
        <v>372</v>
      </c>
      <c r="U16" s="7">
        <v>372</v>
      </c>
      <c r="V16" s="7">
        <v>57</v>
      </c>
      <c r="W16" s="7">
        <v>0</v>
      </c>
      <c r="X16" s="7">
        <v>57</v>
      </c>
      <c r="Y16" s="7">
        <v>8533</v>
      </c>
      <c r="Z16" s="7">
        <v>4772</v>
      </c>
      <c r="AA16" s="7">
        <v>13305</v>
      </c>
      <c r="AB16" s="7">
        <v>4115</v>
      </c>
      <c r="AC16" s="7">
        <v>2019</v>
      </c>
      <c r="AD16" s="7">
        <v>6134</v>
      </c>
      <c r="AE16" s="7">
        <v>2973</v>
      </c>
      <c r="AF16" s="7">
        <v>790</v>
      </c>
      <c r="AG16" s="7">
        <v>3763</v>
      </c>
      <c r="AH16" s="7">
        <v>1743</v>
      </c>
      <c r="AI16" s="7">
        <v>686</v>
      </c>
      <c r="AJ16" s="7">
        <v>2429</v>
      </c>
      <c r="AK16" s="7">
        <v>172</v>
      </c>
      <c r="AL16" s="7">
        <v>110</v>
      </c>
      <c r="AM16" s="7">
        <v>282</v>
      </c>
      <c r="AO16" s="14">
        <v>10</v>
      </c>
      <c r="AP16" s="15">
        <v>21</v>
      </c>
      <c r="AQ16" s="16" t="s">
        <v>49</v>
      </c>
      <c r="AR16" s="7">
        <v>202</v>
      </c>
      <c r="AS16" s="7">
        <v>246</v>
      </c>
      <c r="AT16" s="7">
        <v>448</v>
      </c>
      <c r="AU16" s="7">
        <v>0</v>
      </c>
      <c r="AV16" s="7">
        <v>139</v>
      </c>
      <c r="AW16" s="7">
        <v>139</v>
      </c>
      <c r="AX16" s="7">
        <v>0</v>
      </c>
      <c r="AY16" s="7">
        <v>15</v>
      </c>
      <c r="AZ16" s="7">
        <v>15</v>
      </c>
      <c r="BA16" s="7">
        <v>0</v>
      </c>
      <c r="BB16" s="7">
        <v>20</v>
      </c>
      <c r="BC16" s="7">
        <v>20</v>
      </c>
      <c r="BD16" s="7">
        <v>1804</v>
      </c>
      <c r="BE16" s="7">
        <v>374</v>
      </c>
      <c r="BF16" s="7">
        <v>2178</v>
      </c>
      <c r="BG16" s="7">
        <v>828</v>
      </c>
      <c r="BH16" s="7">
        <v>241</v>
      </c>
      <c r="BI16" s="7">
        <v>1069</v>
      </c>
      <c r="BJ16" s="7">
        <v>756</v>
      </c>
      <c r="BK16" s="7">
        <v>122</v>
      </c>
      <c r="BL16" s="7">
        <v>878</v>
      </c>
      <c r="BM16" s="7">
        <v>461</v>
      </c>
      <c r="BN16" s="7">
        <v>119</v>
      </c>
      <c r="BO16" s="7">
        <v>580</v>
      </c>
      <c r="BP16" s="7">
        <v>39</v>
      </c>
      <c r="BQ16" s="7">
        <v>31</v>
      </c>
      <c r="BR16" s="7">
        <v>70</v>
      </c>
    </row>
    <row r="17" spans="1:70" ht="14.25" customHeight="1">
      <c r="A17" s="2">
        <v>11</v>
      </c>
      <c r="B17" s="3">
        <v>31</v>
      </c>
      <c r="C17" s="4" t="s">
        <v>20</v>
      </c>
      <c r="D17" s="7">
        <v>294</v>
      </c>
      <c r="E17" s="7">
        <v>6652</v>
      </c>
      <c r="F17" s="7">
        <v>6946</v>
      </c>
      <c r="G17" s="7">
        <v>44</v>
      </c>
      <c r="H17" s="7">
        <v>1238</v>
      </c>
      <c r="I17" s="7">
        <f t="shared" si="0"/>
        <v>1282</v>
      </c>
      <c r="J17" s="7">
        <v>46</v>
      </c>
      <c r="K17" s="7">
        <v>60</v>
      </c>
      <c r="L17" s="7">
        <v>106</v>
      </c>
      <c r="M17" s="7">
        <v>90</v>
      </c>
      <c r="N17" s="7">
        <v>4758</v>
      </c>
      <c r="O17" s="7">
        <v>4848</v>
      </c>
      <c r="P17" s="7">
        <v>0</v>
      </c>
      <c r="Q17" s="7">
        <v>21</v>
      </c>
      <c r="R17" s="7">
        <v>21</v>
      </c>
      <c r="S17" s="7">
        <v>0</v>
      </c>
      <c r="T17" s="7">
        <v>2076</v>
      </c>
      <c r="U17" s="7">
        <v>2076</v>
      </c>
      <c r="V17" s="7">
        <v>380</v>
      </c>
      <c r="W17" s="7">
        <v>0</v>
      </c>
      <c r="X17" s="7">
        <v>380</v>
      </c>
      <c r="Y17" s="7">
        <v>21895</v>
      </c>
      <c r="Z17" s="7">
        <v>14824</v>
      </c>
      <c r="AA17" s="7">
        <v>36719</v>
      </c>
      <c r="AB17" s="7">
        <v>9147</v>
      </c>
      <c r="AC17" s="7">
        <v>8942</v>
      </c>
      <c r="AD17" s="7">
        <v>18089</v>
      </c>
      <c r="AE17" s="7">
        <v>4556</v>
      </c>
      <c r="AF17" s="7">
        <v>6974</v>
      </c>
      <c r="AG17" s="7">
        <v>11530</v>
      </c>
      <c r="AH17" s="7">
        <v>3231</v>
      </c>
      <c r="AI17" s="7">
        <v>7763</v>
      </c>
      <c r="AJ17" s="7">
        <v>10994</v>
      </c>
      <c r="AK17" s="7">
        <v>637</v>
      </c>
      <c r="AL17" s="7">
        <v>682</v>
      </c>
      <c r="AM17" s="7">
        <v>1319</v>
      </c>
      <c r="AO17" s="14">
        <v>11</v>
      </c>
      <c r="AP17" s="15">
        <v>31</v>
      </c>
      <c r="AQ17" s="16" t="s">
        <v>20</v>
      </c>
      <c r="AR17" s="7">
        <v>104</v>
      </c>
      <c r="AS17" s="7">
        <v>1306</v>
      </c>
      <c r="AT17" s="7">
        <v>1410</v>
      </c>
      <c r="AU17" s="7">
        <v>23</v>
      </c>
      <c r="AV17" s="7">
        <v>247</v>
      </c>
      <c r="AW17" s="7">
        <v>270</v>
      </c>
      <c r="AX17" s="7">
        <v>21</v>
      </c>
      <c r="AY17" s="7">
        <v>18</v>
      </c>
      <c r="AZ17" s="7">
        <v>39</v>
      </c>
      <c r="BA17" s="7">
        <v>45</v>
      </c>
      <c r="BB17" s="7">
        <v>1183</v>
      </c>
      <c r="BC17" s="7">
        <v>1228</v>
      </c>
      <c r="BD17" s="7">
        <v>2518</v>
      </c>
      <c r="BE17" s="7">
        <v>1861</v>
      </c>
      <c r="BF17" s="7">
        <v>4379</v>
      </c>
      <c r="BG17" s="7">
        <v>2020</v>
      </c>
      <c r="BH17" s="7">
        <v>1706</v>
      </c>
      <c r="BI17" s="7">
        <v>3726</v>
      </c>
      <c r="BJ17" s="7">
        <v>961</v>
      </c>
      <c r="BK17" s="7">
        <v>1369</v>
      </c>
      <c r="BL17" s="7">
        <v>2330</v>
      </c>
      <c r="BM17" s="7">
        <v>707</v>
      </c>
      <c r="BN17" s="7">
        <v>1631</v>
      </c>
      <c r="BO17" s="7">
        <v>2338</v>
      </c>
      <c r="BP17" s="7">
        <v>51</v>
      </c>
      <c r="BQ17" s="7">
        <v>102</v>
      </c>
      <c r="BR17" s="7">
        <v>153</v>
      </c>
    </row>
    <row r="18" spans="1:70" ht="14.25" customHeight="1">
      <c r="A18" s="2">
        <v>12</v>
      </c>
      <c r="B18" s="3">
        <v>32</v>
      </c>
      <c r="C18" s="4" t="s">
        <v>21</v>
      </c>
      <c r="D18" s="7">
        <v>891</v>
      </c>
      <c r="E18" s="7">
        <v>30602</v>
      </c>
      <c r="F18" s="7">
        <v>31493</v>
      </c>
      <c r="G18" s="7">
        <v>4</v>
      </c>
      <c r="H18" s="7">
        <v>34903</v>
      </c>
      <c r="I18" s="7">
        <f t="shared" si="0"/>
        <v>34907</v>
      </c>
      <c r="J18" s="7">
        <v>0</v>
      </c>
      <c r="K18" s="7">
        <v>459</v>
      </c>
      <c r="L18" s="7">
        <v>459</v>
      </c>
      <c r="M18" s="7">
        <v>0</v>
      </c>
      <c r="N18" s="7">
        <v>17717</v>
      </c>
      <c r="O18" s="7">
        <v>17717</v>
      </c>
      <c r="P18" s="7">
        <v>0</v>
      </c>
      <c r="Q18" s="7">
        <v>285</v>
      </c>
      <c r="R18" s="7">
        <v>285</v>
      </c>
      <c r="S18" s="7">
        <v>0</v>
      </c>
      <c r="T18" s="7">
        <v>13907</v>
      </c>
      <c r="U18" s="7">
        <v>13907</v>
      </c>
      <c r="V18" s="7">
        <v>486</v>
      </c>
      <c r="W18" s="7">
        <v>0</v>
      </c>
      <c r="X18" s="7">
        <v>486</v>
      </c>
      <c r="Y18" s="7">
        <v>161466</v>
      </c>
      <c r="Z18" s="7">
        <v>39176</v>
      </c>
      <c r="AA18" s="7">
        <v>200642</v>
      </c>
      <c r="AB18" s="7">
        <v>51887</v>
      </c>
      <c r="AC18" s="7">
        <v>40863</v>
      </c>
      <c r="AD18" s="7">
        <v>92750</v>
      </c>
      <c r="AE18" s="7">
        <v>25998</v>
      </c>
      <c r="AF18" s="7">
        <v>17725</v>
      </c>
      <c r="AG18" s="7">
        <v>43723</v>
      </c>
      <c r="AH18" s="7">
        <v>18483</v>
      </c>
      <c r="AI18" s="7">
        <v>37932</v>
      </c>
      <c r="AJ18" s="7">
        <v>56415</v>
      </c>
      <c r="AK18" s="7">
        <v>1952</v>
      </c>
      <c r="AL18" s="7">
        <v>2722</v>
      </c>
      <c r="AM18" s="7">
        <v>4674</v>
      </c>
      <c r="AO18" s="14">
        <v>12</v>
      </c>
      <c r="AP18" s="15">
        <v>32</v>
      </c>
      <c r="AQ18" s="16" t="s">
        <v>21</v>
      </c>
      <c r="AR18" s="7">
        <v>105</v>
      </c>
      <c r="AS18" s="7">
        <v>3279</v>
      </c>
      <c r="AT18" s="7">
        <v>3384</v>
      </c>
      <c r="AU18" s="7">
        <v>2</v>
      </c>
      <c r="AV18" s="7">
        <v>4213</v>
      </c>
      <c r="AW18" s="7">
        <v>4215</v>
      </c>
      <c r="AX18" s="7">
        <v>0</v>
      </c>
      <c r="AY18" s="7">
        <v>55</v>
      </c>
      <c r="AZ18" s="7">
        <v>55</v>
      </c>
      <c r="BA18" s="7">
        <v>0</v>
      </c>
      <c r="BB18" s="7">
        <v>2191</v>
      </c>
      <c r="BC18" s="7">
        <v>2191</v>
      </c>
      <c r="BD18" s="7">
        <v>13076</v>
      </c>
      <c r="BE18" s="7">
        <v>4110</v>
      </c>
      <c r="BF18" s="7">
        <v>17186</v>
      </c>
      <c r="BG18" s="7">
        <v>9886</v>
      </c>
      <c r="BH18" s="7">
        <v>6965</v>
      </c>
      <c r="BI18" s="7">
        <v>16851</v>
      </c>
      <c r="BJ18" s="7">
        <v>6010</v>
      </c>
      <c r="BK18" s="7">
        <v>3036</v>
      </c>
      <c r="BL18" s="7">
        <v>9046</v>
      </c>
      <c r="BM18" s="7">
        <v>4592</v>
      </c>
      <c r="BN18" s="7">
        <v>7787</v>
      </c>
      <c r="BO18" s="7">
        <v>12379</v>
      </c>
      <c r="BP18" s="7">
        <v>491</v>
      </c>
      <c r="BQ18" s="7">
        <v>387</v>
      </c>
      <c r="BR18" s="7">
        <v>878</v>
      </c>
    </row>
    <row r="19" spans="1:70" ht="14.25" customHeight="1">
      <c r="A19" s="2">
        <v>13</v>
      </c>
      <c r="B19" s="3">
        <v>33</v>
      </c>
      <c r="C19" s="4" t="s">
        <v>22</v>
      </c>
      <c r="D19" s="7">
        <v>917</v>
      </c>
      <c r="E19" s="7">
        <v>31901</v>
      </c>
      <c r="F19" s="7">
        <v>32818</v>
      </c>
      <c r="G19" s="7">
        <v>4</v>
      </c>
      <c r="H19" s="7">
        <v>18511</v>
      </c>
      <c r="I19" s="7">
        <f t="shared" si="0"/>
        <v>18515</v>
      </c>
      <c r="J19" s="7">
        <v>0</v>
      </c>
      <c r="K19" s="7">
        <v>1302</v>
      </c>
      <c r="L19" s="7">
        <v>1302</v>
      </c>
      <c r="M19" s="7">
        <v>0</v>
      </c>
      <c r="N19" s="7">
        <v>4981</v>
      </c>
      <c r="O19" s="7">
        <v>4981</v>
      </c>
      <c r="P19" s="7">
        <v>0</v>
      </c>
      <c r="Q19" s="7">
        <v>138</v>
      </c>
      <c r="R19" s="7">
        <v>138</v>
      </c>
      <c r="S19" s="7">
        <v>0</v>
      </c>
      <c r="T19" s="7">
        <v>5256</v>
      </c>
      <c r="U19" s="7">
        <v>5256</v>
      </c>
      <c r="V19" s="7">
        <v>679</v>
      </c>
      <c r="W19" s="7">
        <v>0</v>
      </c>
      <c r="X19" s="7">
        <v>679</v>
      </c>
      <c r="Y19" s="7">
        <v>135007</v>
      </c>
      <c r="Z19" s="7">
        <v>18119</v>
      </c>
      <c r="AA19" s="7">
        <v>153126</v>
      </c>
      <c r="AB19" s="7">
        <v>48612</v>
      </c>
      <c r="AC19" s="7">
        <v>17840</v>
      </c>
      <c r="AD19" s="7">
        <v>66452</v>
      </c>
      <c r="AE19" s="7">
        <v>18002</v>
      </c>
      <c r="AF19" s="7">
        <v>7520</v>
      </c>
      <c r="AG19" s="7">
        <v>25522</v>
      </c>
      <c r="AH19" s="7">
        <v>16705</v>
      </c>
      <c r="AI19" s="7">
        <v>28436</v>
      </c>
      <c r="AJ19" s="7">
        <v>45141</v>
      </c>
      <c r="AK19" s="7">
        <v>1139</v>
      </c>
      <c r="AL19" s="7">
        <v>1501</v>
      </c>
      <c r="AM19" s="7">
        <v>2640</v>
      </c>
      <c r="AO19" s="14">
        <v>13</v>
      </c>
      <c r="AP19" s="15">
        <v>33</v>
      </c>
      <c r="AQ19" s="16" t="s">
        <v>22</v>
      </c>
      <c r="AR19" s="7">
        <v>124</v>
      </c>
      <c r="AS19" s="7">
        <v>1741</v>
      </c>
      <c r="AT19" s="7">
        <v>1865</v>
      </c>
      <c r="AU19" s="7">
        <v>1</v>
      </c>
      <c r="AV19" s="7">
        <v>1046</v>
      </c>
      <c r="AW19" s="7">
        <v>1047</v>
      </c>
      <c r="AX19" s="7">
        <v>0</v>
      </c>
      <c r="AY19" s="7">
        <v>94</v>
      </c>
      <c r="AZ19" s="7">
        <v>94</v>
      </c>
      <c r="BA19" s="7">
        <v>0</v>
      </c>
      <c r="BB19" s="7">
        <v>342</v>
      </c>
      <c r="BC19" s="7">
        <v>342</v>
      </c>
      <c r="BD19" s="7">
        <v>10048</v>
      </c>
      <c r="BE19" s="7">
        <v>1985</v>
      </c>
      <c r="BF19" s="7">
        <v>12033</v>
      </c>
      <c r="BG19" s="7">
        <v>9111</v>
      </c>
      <c r="BH19" s="7">
        <v>3626</v>
      </c>
      <c r="BI19" s="7">
        <v>12737</v>
      </c>
      <c r="BJ19" s="7">
        <v>3760</v>
      </c>
      <c r="BK19" s="7">
        <v>1580</v>
      </c>
      <c r="BL19" s="7">
        <v>5340</v>
      </c>
      <c r="BM19" s="7">
        <v>3099</v>
      </c>
      <c r="BN19" s="7">
        <v>6294</v>
      </c>
      <c r="BO19" s="7">
        <v>9393</v>
      </c>
      <c r="BP19" s="7">
        <v>212</v>
      </c>
      <c r="BQ19" s="7">
        <v>147</v>
      </c>
      <c r="BR19" s="7">
        <v>359</v>
      </c>
    </row>
    <row r="20" spans="1:70" ht="14.25" customHeight="1">
      <c r="A20" s="2">
        <v>14</v>
      </c>
      <c r="B20" s="3">
        <v>34</v>
      </c>
      <c r="C20" s="4" t="s">
        <v>23</v>
      </c>
      <c r="D20" s="7">
        <v>278</v>
      </c>
      <c r="E20" s="7">
        <v>5218</v>
      </c>
      <c r="F20" s="7">
        <v>5496</v>
      </c>
      <c r="G20" s="7">
        <v>0</v>
      </c>
      <c r="H20" s="7">
        <v>3308</v>
      </c>
      <c r="I20" s="7">
        <f t="shared" si="0"/>
        <v>3308</v>
      </c>
      <c r="J20" s="7">
        <v>0</v>
      </c>
      <c r="K20" s="7">
        <v>749</v>
      </c>
      <c r="L20" s="7">
        <v>749</v>
      </c>
      <c r="M20" s="7">
        <v>0</v>
      </c>
      <c r="N20" s="7">
        <v>2167</v>
      </c>
      <c r="O20" s="7">
        <v>2167</v>
      </c>
      <c r="P20" s="7">
        <v>0</v>
      </c>
      <c r="Q20" s="7">
        <v>33</v>
      </c>
      <c r="R20" s="7">
        <v>33</v>
      </c>
      <c r="S20" s="7">
        <v>0</v>
      </c>
      <c r="T20" s="7">
        <v>992</v>
      </c>
      <c r="U20" s="7">
        <v>992</v>
      </c>
      <c r="V20" s="7">
        <v>141</v>
      </c>
      <c r="W20" s="7">
        <v>0</v>
      </c>
      <c r="X20" s="7">
        <v>141</v>
      </c>
      <c r="Y20" s="7">
        <v>13084</v>
      </c>
      <c r="Z20" s="7">
        <v>5443</v>
      </c>
      <c r="AA20" s="7">
        <v>18527</v>
      </c>
      <c r="AB20" s="7">
        <v>5236</v>
      </c>
      <c r="AC20" s="7">
        <v>3100</v>
      </c>
      <c r="AD20" s="7">
        <v>8336</v>
      </c>
      <c r="AE20" s="7">
        <v>2382</v>
      </c>
      <c r="AF20" s="7">
        <v>1531</v>
      </c>
      <c r="AG20" s="7">
        <v>3913</v>
      </c>
      <c r="AH20" s="7">
        <v>3011</v>
      </c>
      <c r="AI20" s="7">
        <v>2818</v>
      </c>
      <c r="AJ20" s="7">
        <v>5829</v>
      </c>
      <c r="AK20" s="7">
        <v>334</v>
      </c>
      <c r="AL20" s="7">
        <v>681</v>
      </c>
      <c r="AM20" s="7">
        <v>1015</v>
      </c>
      <c r="AO20" s="14">
        <v>14</v>
      </c>
      <c r="AP20" s="15">
        <v>34</v>
      </c>
      <c r="AQ20" s="16" t="s">
        <v>23</v>
      </c>
      <c r="AR20" s="7">
        <v>76</v>
      </c>
      <c r="AS20" s="7">
        <v>1016</v>
      </c>
      <c r="AT20" s="7">
        <v>1092</v>
      </c>
      <c r="AU20" s="7">
        <v>0</v>
      </c>
      <c r="AV20" s="7">
        <v>301</v>
      </c>
      <c r="AW20" s="7">
        <v>301</v>
      </c>
      <c r="AX20" s="7">
        <v>0</v>
      </c>
      <c r="AY20" s="7">
        <v>56</v>
      </c>
      <c r="AZ20" s="7">
        <v>56</v>
      </c>
      <c r="BA20" s="7">
        <v>0</v>
      </c>
      <c r="BB20" s="7">
        <v>250</v>
      </c>
      <c r="BC20" s="7">
        <v>250</v>
      </c>
      <c r="BD20" s="7">
        <v>1669</v>
      </c>
      <c r="BE20" s="7">
        <v>839</v>
      </c>
      <c r="BF20" s="7">
        <v>2508</v>
      </c>
      <c r="BG20" s="7">
        <v>1106</v>
      </c>
      <c r="BH20" s="7">
        <v>776</v>
      </c>
      <c r="BI20" s="7">
        <v>1882</v>
      </c>
      <c r="BJ20" s="7">
        <v>857</v>
      </c>
      <c r="BK20" s="7">
        <v>425</v>
      </c>
      <c r="BL20" s="7">
        <v>1282</v>
      </c>
      <c r="BM20" s="7">
        <v>923</v>
      </c>
      <c r="BN20" s="7">
        <v>729</v>
      </c>
      <c r="BO20" s="7">
        <v>1652</v>
      </c>
      <c r="BP20" s="7">
        <v>90</v>
      </c>
      <c r="BQ20" s="7">
        <v>58</v>
      </c>
      <c r="BR20" s="7">
        <v>148</v>
      </c>
    </row>
    <row r="21" spans="1:70" ht="14.25" customHeight="1">
      <c r="A21" s="2">
        <v>15</v>
      </c>
      <c r="B21" s="3">
        <v>35</v>
      </c>
      <c r="C21" s="4" t="s">
        <v>24</v>
      </c>
      <c r="D21" s="7">
        <v>933</v>
      </c>
      <c r="E21" s="7">
        <v>48169</v>
      </c>
      <c r="F21" s="7">
        <v>49102</v>
      </c>
      <c r="G21" s="7">
        <v>2</v>
      </c>
      <c r="H21" s="7">
        <v>23707</v>
      </c>
      <c r="I21" s="7">
        <f t="shared" si="0"/>
        <v>23709</v>
      </c>
      <c r="J21" s="7">
        <v>3</v>
      </c>
      <c r="K21" s="7">
        <v>893</v>
      </c>
      <c r="L21" s="7">
        <v>896</v>
      </c>
      <c r="M21" s="7">
        <v>0</v>
      </c>
      <c r="N21" s="7">
        <v>8502</v>
      </c>
      <c r="O21" s="7">
        <v>8502</v>
      </c>
      <c r="P21" s="7">
        <v>0</v>
      </c>
      <c r="Q21" s="7">
        <v>144</v>
      </c>
      <c r="R21" s="7">
        <v>144</v>
      </c>
      <c r="S21" s="7">
        <v>0</v>
      </c>
      <c r="T21" s="7">
        <v>5451</v>
      </c>
      <c r="U21" s="7">
        <v>5451</v>
      </c>
      <c r="V21" s="7">
        <v>304</v>
      </c>
      <c r="W21" s="7">
        <v>0</v>
      </c>
      <c r="X21" s="7">
        <v>304</v>
      </c>
      <c r="Y21" s="7">
        <v>140150</v>
      </c>
      <c r="Z21" s="7">
        <v>24712</v>
      </c>
      <c r="AA21" s="7">
        <v>164862</v>
      </c>
      <c r="AB21" s="7">
        <v>44916</v>
      </c>
      <c r="AC21" s="7">
        <v>30393</v>
      </c>
      <c r="AD21" s="7">
        <v>75309</v>
      </c>
      <c r="AE21" s="7">
        <v>19955</v>
      </c>
      <c r="AF21" s="7">
        <v>13261</v>
      </c>
      <c r="AG21" s="7">
        <v>33216</v>
      </c>
      <c r="AH21" s="7">
        <v>20196</v>
      </c>
      <c r="AI21" s="7">
        <v>27556</v>
      </c>
      <c r="AJ21" s="7">
        <v>47752</v>
      </c>
      <c r="AK21" s="7">
        <v>1199</v>
      </c>
      <c r="AL21" s="7">
        <v>2572</v>
      </c>
      <c r="AM21" s="7">
        <v>3771</v>
      </c>
      <c r="AO21" s="14">
        <v>15</v>
      </c>
      <c r="AP21" s="15">
        <v>35</v>
      </c>
      <c r="AQ21" s="16" t="s">
        <v>24</v>
      </c>
      <c r="AR21" s="7">
        <v>163</v>
      </c>
      <c r="AS21" s="7">
        <v>1752</v>
      </c>
      <c r="AT21" s="7">
        <v>1915</v>
      </c>
      <c r="AU21" s="7">
        <v>0</v>
      </c>
      <c r="AV21" s="7">
        <v>920</v>
      </c>
      <c r="AW21" s="7">
        <v>920</v>
      </c>
      <c r="AX21" s="7">
        <v>0</v>
      </c>
      <c r="AY21" s="7">
        <v>47</v>
      </c>
      <c r="AZ21" s="7">
        <v>47</v>
      </c>
      <c r="BA21" s="7">
        <v>0</v>
      </c>
      <c r="BB21" s="7">
        <v>204</v>
      </c>
      <c r="BC21" s="7">
        <v>204</v>
      </c>
      <c r="BD21" s="7">
        <v>10256</v>
      </c>
      <c r="BE21" s="7">
        <v>2322</v>
      </c>
      <c r="BF21" s="7">
        <v>12578</v>
      </c>
      <c r="BG21" s="7">
        <v>9130</v>
      </c>
      <c r="BH21" s="7">
        <v>4028</v>
      </c>
      <c r="BI21" s="7">
        <v>13158</v>
      </c>
      <c r="BJ21" s="7">
        <v>4965</v>
      </c>
      <c r="BK21" s="7">
        <v>2138</v>
      </c>
      <c r="BL21" s="7">
        <v>7103</v>
      </c>
      <c r="BM21" s="7">
        <v>4872</v>
      </c>
      <c r="BN21" s="7">
        <v>4156</v>
      </c>
      <c r="BO21" s="7">
        <v>9028</v>
      </c>
      <c r="BP21" s="7">
        <v>196</v>
      </c>
      <c r="BQ21" s="7">
        <v>171</v>
      </c>
      <c r="BR21" s="7">
        <v>367</v>
      </c>
    </row>
    <row r="22" spans="1:70" ht="14.25" customHeight="1">
      <c r="A22" s="2">
        <v>16</v>
      </c>
      <c r="B22" s="3">
        <v>36</v>
      </c>
      <c r="C22" s="4" t="s">
        <v>46</v>
      </c>
      <c r="D22" s="7">
        <v>532</v>
      </c>
      <c r="E22" s="7">
        <v>8735</v>
      </c>
      <c r="F22" s="7">
        <v>9267</v>
      </c>
      <c r="G22" s="7">
        <v>0</v>
      </c>
      <c r="H22" s="7">
        <v>8438</v>
      </c>
      <c r="I22" s="7">
        <f t="shared" si="0"/>
        <v>8438</v>
      </c>
      <c r="J22" s="7">
        <v>0</v>
      </c>
      <c r="K22" s="7">
        <v>81</v>
      </c>
      <c r="L22" s="7">
        <v>81</v>
      </c>
      <c r="M22" s="7">
        <v>0</v>
      </c>
      <c r="N22" s="7">
        <v>1512</v>
      </c>
      <c r="O22" s="7">
        <v>1512</v>
      </c>
      <c r="P22" s="7">
        <v>0</v>
      </c>
      <c r="Q22" s="7">
        <v>24</v>
      </c>
      <c r="R22" s="7">
        <v>24</v>
      </c>
      <c r="S22" s="7">
        <v>0</v>
      </c>
      <c r="T22" s="7">
        <v>3279</v>
      </c>
      <c r="U22" s="7">
        <v>3279</v>
      </c>
      <c r="V22" s="7">
        <v>121</v>
      </c>
      <c r="W22" s="7">
        <v>0</v>
      </c>
      <c r="X22" s="7">
        <v>121</v>
      </c>
      <c r="Y22" s="7">
        <v>42948</v>
      </c>
      <c r="Z22" s="7">
        <v>12637</v>
      </c>
      <c r="AA22" s="7">
        <v>55585</v>
      </c>
      <c r="AB22" s="7">
        <v>13719</v>
      </c>
      <c r="AC22" s="7">
        <v>9445</v>
      </c>
      <c r="AD22" s="7">
        <v>23164</v>
      </c>
      <c r="AE22" s="7">
        <v>6925</v>
      </c>
      <c r="AF22" s="7">
        <v>5857</v>
      </c>
      <c r="AG22" s="7">
        <v>12782</v>
      </c>
      <c r="AH22" s="7">
        <v>4994</v>
      </c>
      <c r="AI22" s="7">
        <v>8903</v>
      </c>
      <c r="AJ22" s="7">
        <v>13897</v>
      </c>
      <c r="AK22" s="7">
        <v>365</v>
      </c>
      <c r="AL22" s="7">
        <v>852</v>
      </c>
      <c r="AM22" s="7">
        <v>1217</v>
      </c>
      <c r="AO22" s="14">
        <v>16</v>
      </c>
      <c r="AP22" s="15">
        <v>36</v>
      </c>
      <c r="AQ22" s="16" t="s">
        <v>46</v>
      </c>
      <c r="AR22" s="7">
        <v>85</v>
      </c>
      <c r="AS22" s="7">
        <v>1079</v>
      </c>
      <c r="AT22" s="7">
        <v>1164</v>
      </c>
      <c r="AU22" s="7">
        <v>0</v>
      </c>
      <c r="AV22" s="7">
        <v>1115</v>
      </c>
      <c r="AW22" s="7">
        <v>1115</v>
      </c>
      <c r="AX22" s="7">
        <v>0</v>
      </c>
      <c r="AY22" s="7">
        <v>17</v>
      </c>
      <c r="AZ22" s="7">
        <v>17</v>
      </c>
      <c r="BA22" s="7">
        <v>0</v>
      </c>
      <c r="BB22" s="7">
        <v>226</v>
      </c>
      <c r="BC22" s="7">
        <v>226</v>
      </c>
      <c r="BD22" s="7">
        <v>3647</v>
      </c>
      <c r="BE22" s="7">
        <v>1121</v>
      </c>
      <c r="BF22" s="7">
        <v>4768</v>
      </c>
      <c r="BG22" s="7">
        <v>1864</v>
      </c>
      <c r="BH22" s="7">
        <v>1340</v>
      </c>
      <c r="BI22" s="7">
        <v>3204</v>
      </c>
      <c r="BJ22" s="7">
        <v>1571</v>
      </c>
      <c r="BK22" s="7">
        <v>1273</v>
      </c>
      <c r="BL22" s="7">
        <v>2844</v>
      </c>
      <c r="BM22" s="7">
        <v>1272</v>
      </c>
      <c r="BN22" s="7">
        <v>2430</v>
      </c>
      <c r="BO22" s="7">
        <v>3702</v>
      </c>
      <c r="BP22" s="7">
        <v>102</v>
      </c>
      <c r="BQ22" s="7">
        <v>311</v>
      </c>
      <c r="BR22" s="7">
        <v>413</v>
      </c>
    </row>
    <row r="23" spans="1:70" ht="14.25" customHeight="1">
      <c r="A23" s="2">
        <v>17</v>
      </c>
      <c r="B23" s="3">
        <v>51</v>
      </c>
      <c r="C23" s="4" t="s">
        <v>41</v>
      </c>
      <c r="D23" s="7">
        <v>735</v>
      </c>
      <c r="E23" s="7">
        <v>4013</v>
      </c>
      <c r="F23" s="7">
        <v>4748</v>
      </c>
      <c r="G23" s="7">
        <v>2</v>
      </c>
      <c r="H23" s="7">
        <v>588</v>
      </c>
      <c r="I23" s="7">
        <f t="shared" si="0"/>
        <v>590</v>
      </c>
      <c r="J23" s="7">
        <v>0</v>
      </c>
      <c r="K23" s="7">
        <v>113</v>
      </c>
      <c r="L23" s="7">
        <v>113</v>
      </c>
      <c r="M23" s="7">
        <v>0</v>
      </c>
      <c r="N23" s="7">
        <v>38</v>
      </c>
      <c r="O23" s="7">
        <v>38</v>
      </c>
      <c r="P23" s="7">
        <v>0</v>
      </c>
      <c r="Q23" s="7">
        <v>35</v>
      </c>
      <c r="R23" s="7">
        <v>35</v>
      </c>
      <c r="S23" s="7">
        <v>0</v>
      </c>
      <c r="T23" s="7">
        <v>525</v>
      </c>
      <c r="U23" s="7">
        <v>525</v>
      </c>
      <c r="V23" s="7">
        <v>113</v>
      </c>
      <c r="W23" s="7">
        <v>0</v>
      </c>
      <c r="X23" s="7">
        <v>113</v>
      </c>
      <c r="Y23" s="7">
        <v>19986</v>
      </c>
      <c r="Z23" s="7">
        <v>2767</v>
      </c>
      <c r="AA23" s="7">
        <v>22753</v>
      </c>
      <c r="AB23" s="7">
        <v>8755</v>
      </c>
      <c r="AC23" s="7">
        <v>1670</v>
      </c>
      <c r="AD23" s="7">
        <v>10425</v>
      </c>
      <c r="AE23" s="7">
        <v>4687</v>
      </c>
      <c r="AF23" s="7">
        <v>991</v>
      </c>
      <c r="AG23" s="7">
        <v>5678</v>
      </c>
      <c r="AH23" s="7">
        <v>3563</v>
      </c>
      <c r="AI23" s="7">
        <v>2026</v>
      </c>
      <c r="AJ23" s="7">
        <v>5589</v>
      </c>
      <c r="AK23" s="7">
        <v>409</v>
      </c>
      <c r="AL23" s="7">
        <v>32</v>
      </c>
      <c r="AM23" s="7">
        <v>441</v>
      </c>
      <c r="AO23" s="14">
        <v>17</v>
      </c>
      <c r="AP23" s="15">
        <v>51</v>
      </c>
      <c r="AQ23" s="16" t="s">
        <v>41</v>
      </c>
      <c r="AR23" s="7">
        <v>138</v>
      </c>
      <c r="AS23" s="7">
        <v>384</v>
      </c>
      <c r="AT23" s="7">
        <v>522</v>
      </c>
      <c r="AU23" s="7">
        <v>0</v>
      </c>
      <c r="AV23" s="7">
        <v>81</v>
      </c>
      <c r="AW23" s="7">
        <v>81</v>
      </c>
      <c r="AX23" s="7">
        <v>0</v>
      </c>
      <c r="AY23" s="7">
        <v>5</v>
      </c>
      <c r="AZ23" s="7">
        <v>5</v>
      </c>
      <c r="BA23" s="7">
        <v>0</v>
      </c>
      <c r="BB23" s="7">
        <v>3</v>
      </c>
      <c r="BC23" s="7">
        <v>3</v>
      </c>
      <c r="BD23" s="7">
        <v>3535</v>
      </c>
      <c r="BE23" s="7">
        <v>329</v>
      </c>
      <c r="BF23" s="7">
        <v>3864</v>
      </c>
      <c r="BG23" s="7">
        <v>2270</v>
      </c>
      <c r="BH23" s="7">
        <v>393</v>
      </c>
      <c r="BI23" s="7">
        <v>2663</v>
      </c>
      <c r="BJ23" s="7">
        <v>1689</v>
      </c>
      <c r="BK23" s="7">
        <v>233</v>
      </c>
      <c r="BL23" s="7">
        <v>1922</v>
      </c>
      <c r="BM23" s="7">
        <v>956</v>
      </c>
      <c r="BN23" s="7">
        <v>416</v>
      </c>
      <c r="BO23" s="7">
        <v>1372</v>
      </c>
      <c r="BP23" s="7">
        <v>131</v>
      </c>
      <c r="BQ23" s="7">
        <v>3</v>
      </c>
      <c r="BR23" s="7">
        <v>134</v>
      </c>
    </row>
    <row r="24" spans="1:70" ht="14.25" customHeight="1">
      <c r="A24" s="2">
        <v>18</v>
      </c>
      <c r="B24" s="3">
        <v>52</v>
      </c>
      <c r="C24" s="4" t="s">
        <v>42</v>
      </c>
      <c r="D24" s="7">
        <v>2054</v>
      </c>
      <c r="E24" s="7">
        <v>6121</v>
      </c>
      <c r="F24" s="7">
        <v>8175</v>
      </c>
      <c r="G24" s="7">
        <v>0</v>
      </c>
      <c r="H24" s="7">
        <v>6372</v>
      </c>
      <c r="I24" s="7">
        <f t="shared" si="0"/>
        <v>6372</v>
      </c>
      <c r="J24" s="7">
        <v>0</v>
      </c>
      <c r="K24" s="7">
        <v>58</v>
      </c>
      <c r="L24" s="7">
        <v>58</v>
      </c>
      <c r="M24" s="7">
        <v>0</v>
      </c>
      <c r="N24" s="7">
        <v>458</v>
      </c>
      <c r="O24" s="7">
        <v>458</v>
      </c>
      <c r="P24" s="7">
        <v>0</v>
      </c>
      <c r="Q24" s="7">
        <v>38</v>
      </c>
      <c r="R24" s="7">
        <v>38</v>
      </c>
      <c r="S24" s="7">
        <v>0</v>
      </c>
      <c r="T24" s="7">
        <v>1415</v>
      </c>
      <c r="U24" s="7">
        <v>1415</v>
      </c>
      <c r="V24" s="7">
        <v>196</v>
      </c>
      <c r="W24" s="7">
        <v>0</v>
      </c>
      <c r="X24" s="7">
        <v>196</v>
      </c>
      <c r="Y24" s="7">
        <v>40975</v>
      </c>
      <c r="Z24" s="7">
        <v>3681</v>
      </c>
      <c r="AA24" s="7">
        <v>44656</v>
      </c>
      <c r="AB24" s="7">
        <v>17894</v>
      </c>
      <c r="AC24" s="7">
        <v>4841</v>
      </c>
      <c r="AD24" s="7">
        <v>22735</v>
      </c>
      <c r="AE24" s="7">
        <v>7851</v>
      </c>
      <c r="AF24" s="7">
        <v>2370</v>
      </c>
      <c r="AG24" s="7">
        <v>10221</v>
      </c>
      <c r="AH24" s="7">
        <v>5716</v>
      </c>
      <c r="AI24" s="7">
        <v>2646</v>
      </c>
      <c r="AJ24" s="7">
        <v>8362</v>
      </c>
      <c r="AK24" s="7">
        <v>507</v>
      </c>
      <c r="AL24" s="7">
        <v>325</v>
      </c>
      <c r="AM24" s="7">
        <v>832</v>
      </c>
      <c r="AO24" s="14">
        <v>18</v>
      </c>
      <c r="AP24" s="15">
        <v>52</v>
      </c>
      <c r="AQ24" s="16" t="s">
        <v>42</v>
      </c>
      <c r="AR24" s="7">
        <v>275</v>
      </c>
      <c r="AS24" s="7">
        <v>488</v>
      </c>
      <c r="AT24" s="7">
        <v>763</v>
      </c>
      <c r="AU24" s="7">
        <v>0</v>
      </c>
      <c r="AV24" s="7">
        <v>581</v>
      </c>
      <c r="AW24" s="7">
        <v>581</v>
      </c>
      <c r="AX24" s="7">
        <v>0</v>
      </c>
      <c r="AY24" s="7">
        <v>6</v>
      </c>
      <c r="AZ24" s="7">
        <v>6</v>
      </c>
      <c r="BA24" s="7">
        <v>0</v>
      </c>
      <c r="BB24" s="7">
        <v>52</v>
      </c>
      <c r="BC24" s="7">
        <v>52</v>
      </c>
      <c r="BD24" s="7">
        <v>2862</v>
      </c>
      <c r="BE24" s="7">
        <v>246</v>
      </c>
      <c r="BF24" s="7">
        <v>3108</v>
      </c>
      <c r="BG24" s="7">
        <v>3181</v>
      </c>
      <c r="BH24" s="7">
        <v>340</v>
      </c>
      <c r="BI24" s="7">
        <v>3521</v>
      </c>
      <c r="BJ24" s="7">
        <v>1595</v>
      </c>
      <c r="BK24" s="7">
        <v>214</v>
      </c>
      <c r="BL24" s="7">
        <v>1809</v>
      </c>
      <c r="BM24" s="7">
        <v>1197</v>
      </c>
      <c r="BN24" s="7">
        <v>179</v>
      </c>
      <c r="BO24" s="7">
        <v>1376</v>
      </c>
      <c r="BP24" s="7">
        <v>92</v>
      </c>
      <c r="BQ24" s="7">
        <v>34</v>
      </c>
      <c r="BR24" s="7">
        <v>126</v>
      </c>
    </row>
    <row r="25" spans="1:70" ht="14.25" customHeight="1">
      <c r="A25" s="2">
        <v>19</v>
      </c>
      <c r="B25" s="3">
        <v>53</v>
      </c>
      <c r="C25" s="4" t="s">
        <v>43</v>
      </c>
      <c r="D25" s="7">
        <v>1346</v>
      </c>
      <c r="E25" s="7">
        <v>2832</v>
      </c>
      <c r="F25" s="7">
        <v>4178</v>
      </c>
      <c r="G25" s="7">
        <v>16</v>
      </c>
      <c r="H25" s="7">
        <v>7195</v>
      </c>
      <c r="I25" s="7">
        <f t="shared" si="0"/>
        <v>7211</v>
      </c>
      <c r="J25" s="7">
        <v>4</v>
      </c>
      <c r="K25" s="7">
        <v>53</v>
      </c>
      <c r="L25" s="7">
        <v>57</v>
      </c>
      <c r="M25" s="7">
        <v>0</v>
      </c>
      <c r="N25" s="7">
        <v>681</v>
      </c>
      <c r="O25" s="7">
        <v>681</v>
      </c>
      <c r="P25" s="7">
        <v>0</v>
      </c>
      <c r="Q25" s="7">
        <v>19</v>
      </c>
      <c r="R25" s="7">
        <v>19</v>
      </c>
      <c r="S25" s="7">
        <v>0</v>
      </c>
      <c r="T25" s="7">
        <v>1014</v>
      </c>
      <c r="U25" s="7">
        <v>1014</v>
      </c>
      <c r="V25" s="7">
        <v>380</v>
      </c>
      <c r="W25" s="7">
        <v>0</v>
      </c>
      <c r="X25" s="7">
        <v>380</v>
      </c>
      <c r="Y25" s="7">
        <v>37098</v>
      </c>
      <c r="Z25" s="7">
        <v>15598</v>
      </c>
      <c r="AA25" s="7">
        <v>52696</v>
      </c>
      <c r="AB25" s="7">
        <v>25448</v>
      </c>
      <c r="AC25" s="7">
        <v>5592</v>
      </c>
      <c r="AD25" s="7">
        <v>31040</v>
      </c>
      <c r="AE25" s="7">
        <v>12391</v>
      </c>
      <c r="AF25" s="7">
        <v>4235</v>
      </c>
      <c r="AG25" s="7">
        <v>16626</v>
      </c>
      <c r="AH25" s="7">
        <v>6281</v>
      </c>
      <c r="AI25" s="7">
        <v>3013</v>
      </c>
      <c r="AJ25" s="7">
        <v>9294</v>
      </c>
      <c r="AK25" s="7">
        <v>621</v>
      </c>
      <c r="AL25" s="7">
        <v>113</v>
      </c>
      <c r="AM25" s="7">
        <v>734</v>
      </c>
      <c r="AO25" s="14">
        <v>19</v>
      </c>
      <c r="AP25" s="15">
        <v>53</v>
      </c>
      <c r="AQ25" s="16" t="s">
        <v>43</v>
      </c>
      <c r="AR25" s="7">
        <v>361</v>
      </c>
      <c r="AS25" s="7">
        <v>363</v>
      </c>
      <c r="AT25" s="7">
        <v>724</v>
      </c>
      <c r="AU25" s="7">
        <v>0</v>
      </c>
      <c r="AV25" s="7">
        <v>552</v>
      </c>
      <c r="AW25" s="7">
        <v>552</v>
      </c>
      <c r="AX25" s="7">
        <v>1</v>
      </c>
      <c r="AY25" s="7">
        <v>7</v>
      </c>
      <c r="AZ25" s="7">
        <v>8</v>
      </c>
      <c r="BA25" s="7">
        <v>0</v>
      </c>
      <c r="BB25" s="7">
        <v>66</v>
      </c>
      <c r="BC25" s="7">
        <v>66</v>
      </c>
      <c r="BD25" s="7">
        <v>4372</v>
      </c>
      <c r="BE25" s="7">
        <v>1716</v>
      </c>
      <c r="BF25" s="7">
        <v>6088</v>
      </c>
      <c r="BG25" s="7">
        <v>3048</v>
      </c>
      <c r="BH25" s="7">
        <v>705</v>
      </c>
      <c r="BI25" s="7">
        <v>3753</v>
      </c>
      <c r="BJ25" s="7">
        <v>1514</v>
      </c>
      <c r="BK25" s="7">
        <v>521</v>
      </c>
      <c r="BL25" s="7">
        <v>2035</v>
      </c>
      <c r="BM25" s="7">
        <v>733</v>
      </c>
      <c r="BN25" s="7">
        <v>302</v>
      </c>
      <c r="BO25" s="7">
        <v>1035</v>
      </c>
      <c r="BP25" s="7">
        <v>207</v>
      </c>
      <c r="BQ25" s="7">
        <v>15</v>
      </c>
      <c r="BR25" s="7">
        <v>222</v>
      </c>
    </row>
    <row r="26" spans="1:70" ht="14.25" customHeight="1">
      <c r="A26" s="2">
        <v>20</v>
      </c>
      <c r="B26" s="3">
        <v>61</v>
      </c>
      <c r="C26" s="4" t="s">
        <v>32</v>
      </c>
      <c r="D26" s="7">
        <v>794</v>
      </c>
      <c r="E26" s="7">
        <v>2688</v>
      </c>
      <c r="F26" s="7">
        <v>3482</v>
      </c>
      <c r="G26" s="7">
        <v>0</v>
      </c>
      <c r="H26" s="7">
        <v>4047</v>
      </c>
      <c r="I26" s="7">
        <f t="shared" si="0"/>
        <v>4047</v>
      </c>
      <c r="J26" s="7">
        <v>0</v>
      </c>
      <c r="K26" s="7">
        <v>50</v>
      </c>
      <c r="L26" s="7">
        <v>50</v>
      </c>
      <c r="M26" s="7">
        <v>1</v>
      </c>
      <c r="N26" s="7">
        <v>121</v>
      </c>
      <c r="O26" s="7">
        <v>122</v>
      </c>
      <c r="P26" s="7">
        <v>0</v>
      </c>
      <c r="Q26" s="7">
        <v>3</v>
      </c>
      <c r="R26" s="7">
        <v>3</v>
      </c>
      <c r="S26" s="7">
        <v>0</v>
      </c>
      <c r="T26" s="7">
        <v>1064</v>
      </c>
      <c r="U26" s="7">
        <v>1064</v>
      </c>
      <c r="V26" s="7">
        <v>163</v>
      </c>
      <c r="W26" s="7">
        <v>0</v>
      </c>
      <c r="X26" s="7">
        <v>163</v>
      </c>
      <c r="Y26" s="7">
        <v>34140</v>
      </c>
      <c r="Z26" s="7">
        <v>3545</v>
      </c>
      <c r="AA26" s="7">
        <v>37685</v>
      </c>
      <c r="AB26" s="7">
        <v>13383</v>
      </c>
      <c r="AC26" s="7">
        <v>2600</v>
      </c>
      <c r="AD26" s="7">
        <v>15983</v>
      </c>
      <c r="AE26" s="7">
        <v>6727</v>
      </c>
      <c r="AF26" s="7">
        <v>1829</v>
      </c>
      <c r="AG26" s="7">
        <v>8556</v>
      </c>
      <c r="AH26" s="7">
        <v>3677</v>
      </c>
      <c r="AI26" s="7">
        <v>1097</v>
      </c>
      <c r="AJ26" s="7">
        <v>4774</v>
      </c>
      <c r="AK26" s="7">
        <v>162</v>
      </c>
      <c r="AL26" s="7">
        <v>123</v>
      </c>
      <c r="AM26" s="7">
        <v>285</v>
      </c>
      <c r="AO26" s="14">
        <v>20</v>
      </c>
      <c r="AP26" s="15">
        <v>61</v>
      </c>
      <c r="AQ26" s="16" t="s">
        <v>32</v>
      </c>
      <c r="AR26" s="7">
        <v>78</v>
      </c>
      <c r="AS26" s="7">
        <v>226</v>
      </c>
      <c r="AT26" s="7">
        <v>304</v>
      </c>
      <c r="AU26" s="7">
        <v>0</v>
      </c>
      <c r="AV26" s="7">
        <v>439</v>
      </c>
      <c r="AW26" s="7">
        <v>439</v>
      </c>
      <c r="AX26" s="7">
        <v>0</v>
      </c>
      <c r="AY26" s="7">
        <v>4</v>
      </c>
      <c r="AZ26" s="7">
        <v>4</v>
      </c>
      <c r="BA26" s="7">
        <v>0</v>
      </c>
      <c r="BB26" s="7">
        <v>4</v>
      </c>
      <c r="BC26" s="7">
        <v>4</v>
      </c>
      <c r="BD26" s="7">
        <v>3207</v>
      </c>
      <c r="BE26" s="7">
        <v>316</v>
      </c>
      <c r="BF26" s="7">
        <v>3523</v>
      </c>
      <c r="BG26" s="7">
        <v>1590</v>
      </c>
      <c r="BH26" s="7">
        <v>327</v>
      </c>
      <c r="BI26" s="7">
        <v>1917</v>
      </c>
      <c r="BJ26" s="7">
        <v>796</v>
      </c>
      <c r="BK26" s="7">
        <v>211</v>
      </c>
      <c r="BL26" s="7">
        <v>1007</v>
      </c>
      <c r="BM26" s="7">
        <v>483</v>
      </c>
      <c r="BN26" s="7">
        <v>199</v>
      </c>
      <c r="BO26" s="7">
        <v>682</v>
      </c>
      <c r="BP26" s="7">
        <v>25</v>
      </c>
      <c r="BQ26" s="7">
        <v>18</v>
      </c>
      <c r="BR26" s="7">
        <v>43</v>
      </c>
    </row>
    <row r="27" spans="1:70" ht="14.25" customHeight="1">
      <c r="A27" s="2">
        <v>21</v>
      </c>
      <c r="B27" s="3">
        <v>62</v>
      </c>
      <c r="C27" s="4" t="s">
        <v>33</v>
      </c>
      <c r="D27" s="7">
        <v>871</v>
      </c>
      <c r="E27" s="7">
        <v>4511</v>
      </c>
      <c r="F27" s="7">
        <v>5382</v>
      </c>
      <c r="G27" s="7">
        <v>0</v>
      </c>
      <c r="H27" s="7">
        <v>1002</v>
      </c>
      <c r="I27" s="7">
        <f t="shared" si="0"/>
        <v>1002</v>
      </c>
      <c r="J27" s="7">
        <v>0</v>
      </c>
      <c r="K27" s="7">
        <v>70</v>
      </c>
      <c r="L27" s="7">
        <v>70</v>
      </c>
      <c r="M27" s="7">
        <v>0</v>
      </c>
      <c r="N27" s="7">
        <v>147</v>
      </c>
      <c r="O27" s="7">
        <v>147</v>
      </c>
      <c r="P27" s="7">
        <v>0</v>
      </c>
      <c r="Q27" s="7">
        <v>2</v>
      </c>
      <c r="R27" s="7">
        <v>2</v>
      </c>
      <c r="S27" s="7">
        <v>0</v>
      </c>
      <c r="T27" s="7">
        <v>700</v>
      </c>
      <c r="U27" s="7">
        <v>700</v>
      </c>
      <c r="V27" s="7">
        <v>117</v>
      </c>
      <c r="W27" s="7">
        <v>0</v>
      </c>
      <c r="X27" s="7">
        <v>117</v>
      </c>
      <c r="Y27" s="7">
        <v>21633</v>
      </c>
      <c r="Z27" s="7">
        <v>2639</v>
      </c>
      <c r="AA27" s="7">
        <v>24272</v>
      </c>
      <c r="AB27" s="7">
        <v>8576</v>
      </c>
      <c r="AC27" s="7">
        <v>1356</v>
      </c>
      <c r="AD27" s="7">
        <v>9932</v>
      </c>
      <c r="AE27" s="7">
        <v>4363</v>
      </c>
      <c r="AF27" s="7">
        <v>671</v>
      </c>
      <c r="AG27" s="7">
        <v>5034</v>
      </c>
      <c r="AH27" s="7">
        <v>2499</v>
      </c>
      <c r="AI27" s="7">
        <v>537</v>
      </c>
      <c r="AJ27" s="7">
        <v>3036</v>
      </c>
      <c r="AK27" s="7">
        <v>387</v>
      </c>
      <c r="AL27" s="7">
        <v>49</v>
      </c>
      <c r="AM27" s="7">
        <v>436</v>
      </c>
      <c r="AO27" s="14">
        <v>21</v>
      </c>
      <c r="AP27" s="15">
        <v>62</v>
      </c>
      <c r="AQ27" s="16" t="s">
        <v>33</v>
      </c>
      <c r="AR27" s="7">
        <v>73</v>
      </c>
      <c r="AS27" s="7">
        <v>223</v>
      </c>
      <c r="AT27" s="7">
        <v>296</v>
      </c>
      <c r="AU27" s="7">
        <v>0</v>
      </c>
      <c r="AV27" s="7">
        <v>50</v>
      </c>
      <c r="AW27" s="7">
        <v>50</v>
      </c>
      <c r="AX27" s="7">
        <v>0</v>
      </c>
      <c r="AY27" s="7">
        <v>2</v>
      </c>
      <c r="AZ27" s="7">
        <v>2</v>
      </c>
      <c r="BA27" s="7">
        <v>0</v>
      </c>
      <c r="BB27" s="7">
        <v>7</v>
      </c>
      <c r="BC27" s="7">
        <v>7</v>
      </c>
      <c r="BD27" s="7">
        <v>1353</v>
      </c>
      <c r="BE27" s="7">
        <v>194</v>
      </c>
      <c r="BF27" s="7">
        <v>1547</v>
      </c>
      <c r="BG27" s="7">
        <v>733</v>
      </c>
      <c r="BH27" s="7">
        <v>137</v>
      </c>
      <c r="BI27" s="7">
        <v>870</v>
      </c>
      <c r="BJ27" s="7">
        <v>431</v>
      </c>
      <c r="BK27" s="7">
        <v>64</v>
      </c>
      <c r="BL27" s="7">
        <v>495</v>
      </c>
      <c r="BM27" s="7">
        <v>277</v>
      </c>
      <c r="BN27" s="7">
        <v>60</v>
      </c>
      <c r="BO27" s="7">
        <v>337</v>
      </c>
      <c r="BP27" s="7">
        <v>59</v>
      </c>
      <c r="BQ27" s="7">
        <v>6</v>
      </c>
      <c r="BR27" s="7">
        <v>65</v>
      </c>
    </row>
    <row r="28" spans="1:70" ht="14.25" customHeight="1">
      <c r="A28" s="2">
        <v>22</v>
      </c>
      <c r="B28" s="3">
        <v>63</v>
      </c>
      <c r="C28" s="4" t="s">
        <v>34</v>
      </c>
      <c r="D28" s="7">
        <v>1841</v>
      </c>
      <c r="E28" s="7">
        <v>5969</v>
      </c>
      <c r="F28" s="7">
        <v>7810</v>
      </c>
      <c r="G28" s="7">
        <v>28</v>
      </c>
      <c r="H28" s="7">
        <v>2460</v>
      </c>
      <c r="I28" s="7">
        <f t="shared" si="0"/>
        <v>2488</v>
      </c>
      <c r="J28" s="7">
        <v>1</v>
      </c>
      <c r="K28" s="7">
        <v>306</v>
      </c>
      <c r="L28" s="7">
        <v>307</v>
      </c>
      <c r="M28" s="7">
        <v>0</v>
      </c>
      <c r="N28" s="7">
        <v>96</v>
      </c>
      <c r="O28" s="7">
        <v>96</v>
      </c>
      <c r="P28" s="7">
        <v>0</v>
      </c>
      <c r="Q28" s="7">
        <v>19</v>
      </c>
      <c r="R28" s="7">
        <v>19</v>
      </c>
      <c r="S28" s="7">
        <v>0</v>
      </c>
      <c r="T28" s="7">
        <v>1086</v>
      </c>
      <c r="U28" s="7">
        <v>1086</v>
      </c>
      <c r="V28" s="7">
        <v>257</v>
      </c>
      <c r="W28" s="7">
        <v>0</v>
      </c>
      <c r="X28" s="7">
        <v>257</v>
      </c>
      <c r="Y28" s="7">
        <v>25086</v>
      </c>
      <c r="Z28" s="7">
        <v>2373</v>
      </c>
      <c r="AA28" s="7">
        <v>27459</v>
      </c>
      <c r="AB28" s="7">
        <v>7943</v>
      </c>
      <c r="AC28" s="7">
        <v>1158</v>
      </c>
      <c r="AD28" s="7">
        <v>9101</v>
      </c>
      <c r="AE28" s="7">
        <v>4235</v>
      </c>
      <c r="AF28" s="7">
        <v>772</v>
      </c>
      <c r="AG28" s="7">
        <v>5007</v>
      </c>
      <c r="AH28" s="7">
        <v>3073</v>
      </c>
      <c r="AI28" s="7">
        <v>1052</v>
      </c>
      <c r="AJ28" s="7">
        <v>4125</v>
      </c>
      <c r="AK28" s="7">
        <v>691</v>
      </c>
      <c r="AL28" s="7">
        <v>51</v>
      </c>
      <c r="AM28" s="7">
        <v>742</v>
      </c>
      <c r="AO28" s="14">
        <v>22</v>
      </c>
      <c r="AP28" s="15">
        <v>63</v>
      </c>
      <c r="AQ28" s="16" t="s">
        <v>34</v>
      </c>
      <c r="AR28" s="7">
        <v>160</v>
      </c>
      <c r="AS28" s="7">
        <v>181</v>
      </c>
      <c r="AT28" s="7">
        <v>341</v>
      </c>
      <c r="AU28" s="7">
        <v>0</v>
      </c>
      <c r="AV28" s="7">
        <v>78</v>
      </c>
      <c r="AW28" s="7">
        <v>78</v>
      </c>
      <c r="AX28" s="7">
        <v>0</v>
      </c>
      <c r="AY28" s="7">
        <v>4</v>
      </c>
      <c r="AZ28" s="7">
        <v>4</v>
      </c>
      <c r="BA28" s="7">
        <v>0</v>
      </c>
      <c r="BB28" s="7">
        <v>2</v>
      </c>
      <c r="BC28" s="7">
        <v>2</v>
      </c>
      <c r="BD28" s="7">
        <v>2671</v>
      </c>
      <c r="BE28" s="7">
        <v>240</v>
      </c>
      <c r="BF28" s="7">
        <v>2911</v>
      </c>
      <c r="BG28" s="7">
        <v>1114</v>
      </c>
      <c r="BH28" s="7">
        <v>181</v>
      </c>
      <c r="BI28" s="7">
        <v>1295</v>
      </c>
      <c r="BJ28" s="7">
        <v>1182</v>
      </c>
      <c r="BK28" s="7">
        <v>169</v>
      </c>
      <c r="BL28" s="7">
        <v>1351</v>
      </c>
      <c r="BM28" s="7">
        <v>969</v>
      </c>
      <c r="BN28" s="7">
        <v>248</v>
      </c>
      <c r="BO28" s="7">
        <v>1217</v>
      </c>
      <c r="BP28" s="7">
        <v>152</v>
      </c>
      <c r="BQ28" s="7">
        <v>9</v>
      </c>
      <c r="BR28" s="7">
        <v>161</v>
      </c>
    </row>
    <row r="29" spans="1:70" ht="14.25" customHeight="1">
      <c r="A29" s="2">
        <v>23</v>
      </c>
      <c r="B29" s="3">
        <v>64</v>
      </c>
      <c r="C29" s="4" t="s">
        <v>35</v>
      </c>
      <c r="D29" s="7">
        <v>800</v>
      </c>
      <c r="E29" s="7">
        <v>4393</v>
      </c>
      <c r="F29" s="7">
        <v>5193</v>
      </c>
      <c r="G29" s="7">
        <v>0</v>
      </c>
      <c r="H29" s="7">
        <v>2486</v>
      </c>
      <c r="I29" s="7">
        <f t="shared" si="0"/>
        <v>2486</v>
      </c>
      <c r="J29" s="7">
        <v>0</v>
      </c>
      <c r="K29" s="7">
        <v>243</v>
      </c>
      <c r="L29" s="7">
        <v>243</v>
      </c>
      <c r="M29" s="7">
        <v>0</v>
      </c>
      <c r="N29" s="7">
        <v>382</v>
      </c>
      <c r="O29" s="7">
        <v>382</v>
      </c>
      <c r="P29" s="7">
        <v>0</v>
      </c>
      <c r="Q29" s="7">
        <v>8</v>
      </c>
      <c r="R29" s="7">
        <v>8</v>
      </c>
      <c r="S29" s="7">
        <v>0</v>
      </c>
      <c r="T29" s="7">
        <v>826</v>
      </c>
      <c r="U29" s="7">
        <v>826</v>
      </c>
      <c r="V29" s="7">
        <v>414</v>
      </c>
      <c r="W29" s="7">
        <v>0</v>
      </c>
      <c r="X29" s="7">
        <v>414</v>
      </c>
      <c r="Y29" s="7">
        <v>21912</v>
      </c>
      <c r="Z29" s="7">
        <v>4074</v>
      </c>
      <c r="AA29" s="7">
        <v>25986</v>
      </c>
      <c r="AB29" s="7">
        <v>8736</v>
      </c>
      <c r="AC29" s="7">
        <v>2311</v>
      </c>
      <c r="AD29" s="7">
        <v>11047</v>
      </c>
      <c r="AE29" s="7">
        <v>4467</v>
      </c>
      <c r="AF29" s="7">
        <v>1110</v>
      </c>
      <c r="AG29" s="7">
        <v>5577</v>
      </c>
      <c r="AH29" s="7">
        <v>3557</v>
      </c>
      <c r="AI29" s="7">
        <v>1775</v>
      </c>
      <c r="AJ29" s="7">
        <v>5332</v>
      </c>
      <c r="AK29" s="7">
        <v>298</v>
      </c>
      <c r="AL29" s="7">
        <v>167</v>
      </c>
      <c r="AM29" s="7">
        <v>465</v>
      </c>
      <c r="AO29" s="14">
        <v>23</v>
      </c>
      <c r="AP29" s="15">
        <v>64</v>
      </c>
      <c r="AQ29" s="16" t="s">
        <v>35</v>
      </c>
      <c r="AR29" s="7">
        <v>191</v>
      </c>
      <c r="AS29" s="7">
        <v>475</v>
      </c>
      <c r="AT29" s="7">
        <v>666</v>
      </c>
      <c r="AU29" s="7">
        <v>0</v>
      </c>
      <c r="AV29" s="7">
        <v>252</v>
      </c>
      <c r="AW29" s="7">
        <v>252</v>
      </c>
      <c r="AX29" s="7">
        <v>0</v>
      </c>
      <c r="AY29" s="7">
        <v>16</v>
      </c>
      <c r="AZ29" s="7">
        <v>16</v>
      </c>
      <c r="BA29" s="7">
        <v>0</v>
      </c>
      <c r="BB29" s="7">
        <v>31</v>
      </c>
      <c r="BC29" s="7">
        <v>31</v>
      </c>
      <c r="BD29" s="7">
        <v>3349</v>
      </c>
      <c r="BE29" s="7">
        <v>515</v>
      </c>
      <c r="BF29" s="7">
        <v>3864</v>
      </c>
      <c r="BG29" s="7">
        <v>1637</v>
      </c>
      <c r="BH29" s="7">
        <v>409</v>
      </c>
      <c r="BI29" s="7">
        <v>2046</v>
      </c>
      <c r="BJ29" s="7">
        <v>939</v>
      </c>
      <c r="BK29" s="7">
        <v>232</v>
      </c>
      <c r="BL29" s="7">
        <v>1171</v>
      </c>
      <c r="BM29" s="7">
        <v>757</v>
      </c>
      <c r="BN29" s="7">
        <v>472</v>
      </c>
      <c r="BO29" s="7">
        <v>1229</v>
      </c>
      <c r="BP29" s="7">
        <v>68</v>
      </c>
      <c r="BQ29" s="7">
        <v>56</v>
      </c>
      <c r="BR29" s="7">
        <v>124</v>
      </c>
    </row>
    <row r="30" spans="1:70" ht="14.25" customHeight="1">
      <c r="A30" s="2">
        <v>24</v>
      </c>
      <c r="B30" s="3">
        <v>65</v>
      </c>
      <c r="C30" s="4" t="s">
        <v>51</v>
      </c>
      <c r="D30" s="7">
        <v>186</v>
      </c>
      <c r="E30" s="7">
        <v>590</v>
      </c>
      <c r="F30" s="7">
        <v>776</v>
      </c>
      <c r="G30" s="7">
        <v>0</v>
      </c>
      <c r="H30" s="7">
        <v>1157</v>
      </c>
      <c r="I30" s="7">
        <f t="shared" si="0"/>
        <v>1157</v>
      </c>
      <c r="J30" s="7">
        <v>0</v>
      </c>
      <c r="K30" s="7">
        <v>70</v>
      </c>
      <c r="L30" s="7">
        <v>70</v>
      </c>
      <c r="M30" s="7">
        <v>0</v>
      </c>
      <c r="N30" s="7">
        <v>17</v>
      </c>
      <c r="O30" s="7">
        <v>17</v>
      </c>
      <c r="P30" s="7">
        <v>0</v>
      </c>
      <c r="Q30" s="7">
        <v>3</v>
      </c>
      <c r="R30" s="7">
        <v>3</v>
      </c>
      <c r="S30" s="7">
        <v>0</v>
      </c>
      <c r="T30" s="7">
        <v>223</v>
      </c>
      <c r="U30" s="7">
        <v>223</v>
      </c>
      <c r="V30" s="7">
        <v>71</v>
      </c>
      <c r="W30" s="7">
        <v>0</v>
      </c>
      <c r="X30" s="7">
        <v>71</v>
      </c>
      <c r="Y30" s="7">
        <v>5086</v>
      </c>
      <c r="Z30" s="7">
        <v>661</v>
      </c>
      <c r="AA30" s="7">
        <v>5747</v>
      </c>
      <c r="AB30" s="7">
        <v>2421</v>
      </c>
      <c r="AC30" s="7">
        <v>363</v>
      </c>
      <c r="AD30" s="7">
        <v>2784</v>
      </c>
      <c r="AE30" s="7">
        <v>1192</v>
      </c>
      <c r="AF30" s="7">
        <v>254</v>
      </c>
      <c r="AG30" s="7">
        <v>1446</v>
      </c>
      <c r="AH30" s="7">
        <v>753</v>
      </c>
      <c r="AI30" s="7">
        <v>130</v>
      </c>
      <c r="AJ30" s="7">
        <v>883</v>
      </c>
      <c r="AK30" s="7">
        <v>92</v>
      </c>
      <c r="AL30" s="7">
        <v>5</v>
      </c>
      <c r="AM30" s="7">
        <v>97</v>
      </c>
      <c r="AO30" s="14">
        <v>24</v>
      </c>
      <c r="AP30" s="15">
        <v>65</v>
      </c>
      <c r="AQ30" s="16" t="s">
        <v>51</v>
      </c>
      <c r="AR30" s="7">
        <v>21</v>
      </c>
      <c r="AS30" s="7">
        <v>84</v>
      </c>
      <c r="AT30" s="7">
        <v>105</v>
      </c>
      <c r="AU30" s="7">
        <v>0</v>
      </c>
      <c r="AV30" s="7">
        <v>48</v>
      </c>
      <c r="AW30" s="7">
        <v>48</v>
      </c>
      <c r="AX30" s="7">
        <v>0</v>
      </c>
      <c r="AY30" s="7">
        <v>4</v>
      </c>
      <c r="AZ30" s="7">
        <v>4</v>
      </c>
      <c r="BA30" s="7">
        <v>0</v>
      </c>
      <c r="BB30" s="7">
        <v>0</v>
      </c>
      <c r="BC30" s="7">
        <v>0</v>
      </c>
      <c r="BD30" s="7">
        <v>687</v>
      </c>
      <c r="BE30" s="7">
        <v>86</v>
      </c>
      <c r="BF30" s="7">
        <v>773</v>
      </c>
      <c r="BG30" s="7">
        <v>367</v>
      </c>
      <c r="BH30" s="7">
        <v>65</v>
      </c>
      <c r="BI30" s="7">
        <v>432</v>
      </c>
      <c r="BJ30" s="7">
        <v>250</v>
      </c>
      <c r="BK30" s="7">
        <v>55</v>
      </c>
      <c r="BL30" s="7">
        <v>305</v>
      </c>
      <c r="BM30" s="7">
        <v>156</v>
      </c>
      <c r="BN30" s="7">
        <v>23</v>
      </c>
      <c r="BO30" s="7">
        <v>179</v>
      </c>
      <c r="BP30" s="7">
        <v>24</v>
      </c>
      <c r="BQ30" s="7">
        <v>0</v>
      </c>
      <c r="BR30" s="7">
        <v>24</v>
      </c>
    </row>
    <row r="31" spans="1:70" ht="14.25" customHeight="1">
      <c r="A31" s="2">
        <v>25</v>
      </c>
      <c r="B31" s="3">
        <v>71</v>
      </c>
      <c r="C31" s="4" t="s">
        <v>36</v>
      </c>
      <c r="D31" s="7">
        <v>577</v>
      </c>
      <c r="E31" s="7">
        <v>1978</v>
      </c>
      <c r="F31" s="7">
        <v>2555</v>
      </c>
      <c r="G31" s="7">
        <v>2</v>
      </c>
      <c r="H31" s="7">
        <v>954</v>
      </c>
      <c r="I31" s="7">
        <f t="shared" si="0"/>
        <v>956</v>
      </c>
      <c r="J31" s="7">
        <v>0</v>
      </c>
      <c r="K31" s="7">
        <v>12</v>
      </c>
      <c r="L31" s="7">
        <v>12</v>
      </c>
      <c r="M31" s="7">
        <v>0</v>
      </c>
      <c r="N31" s="7">
        <v>56</v>
      </c>
      <c r="O31" s="7">
        <v>56</v>
      </c>
      <c r="P31" s="7">
        <v>0</v>
      </c>
      <c r="Q31" s="7">
        <v>0</v>
      </c>
      <c r="R31" s="7">
        <v>0</v>
      </c>
      <c r="S31" s="7">
        <v>0</v>
      </c>
      <c r="T31" s="7">
        <v>481</v>
      </c>
      <c r="U31" s="7">
        <v>481</v>
      </c>
      <c r="V31" s="7">
        <v>298</v>
      </c>
      <c r="W31" s="7">
        <v>0</v>
      </c>
      <c r="X31" s="7">
        <v>298</v>
      </c>
      <c r="Y31" s="7">
        <v>13432</v>
      </c>
      <c r="Z31" s="7">
        <v>5116</v>
      </c>
      <c r="AA31" s="7">
        <v>18548</v>
      </c>
      <c r="AB31" s="7">
        <v>7904</v>
      </c>
      <c r="AC31" s="7">
        <v>1663</v>
      </c>
      <c r="AD31" s="7">
        <v>9567</v>
      </c>
      <c r="AE31" s="7">
        <v>3446</v>
      </c>
      <c r="AF31" s="7">
        <v>825</v>
      </c>
      <c r="AG31" s="7">
        <v>4271</v>
      </c>
      <c r="AH31" s="7">
        <v>2959</v>
      </c>
      <c r="AI31" s="7">
        <v>853</v>
      </c>
      <c r="AJ31" s="7">
        <v>3812</v>
      </c>
      <c r="AK31" s="7">
        <v>86</v>
      </c>
      <c r="AL31" s="7">
        <v>173</v>
      </c>
      <c r="AM31" s="7">
        <v>259</v>
      </c>
      <c r="AO31" s="14">
        <v>25</v>
      </c>
      <c r="AP31" s="15">
        <v>71</v>
      </c>
      <c r="AQ31" s="16" t="s">
        <v>36</v>
      </c>
      <c r="AR31" s="7">
        <v>36</v>
      </c>
      <c r="AS31" s="7">
        <v>93</v>
      </c>
      <c r="AT31" s="7">
        <v>129</v>
      </c>
      <c r="AU31" s="7">
        <v>0</v>
      </c>
      <c r="AV31" s="7">
        <v>41</v>
      </c>
      <c r="AW31" s="7">
        <v>41</v>
      </c>
      <c r="AX31" s="7">
        <v>0</v>
      </c>
      <c r="AY31" s="7">
        <v>1</v>
      </c>
      <c r="AZ31" s="7">
        <v>1</v>
      </c>
      <c r="BA31" s="7">
        <v>0</v>
      </c>
      <c r="BB31" s="7">
        <v>2</v>
      </c>
      <c r="BC31" s="7">
        <v>2</v>
      </c>
      <c r="BD31" s="7">
        <v>542</v>
      </c>
      <c r="BE31" s="7">
        <v>214</v>
      </c>
      <c r="BF31" s="7">
        <v>756</v>
      </c>
      <c r="BG31" s="7">
        <v>656</v>
      </c>
      <c r="BH31" s="7">
        <v>161</v>
      </c>
      <c r="BI31" s="7">
        <v>817</v>
      </c>
      <c r="BJ31" s="7">
        <v>596</v>
      </c>
      <c r="BK31" s="7">
        <v>90</v>
      </c>
      <c r="BL31" s="7">
        <v>686</v>
      </c>
      <c r="BM31" s="7">
        <v>489</v>
      </c>
      <c r="BN31" s="7">
        <v>118</v>
      </c>
      <c r="BO31" s="7">
        <v>607</v>
      </c>
      <c r="BP31" s="7">
        <v>26</v>
      </c>
      <c r="BQ31" s="7">
        <v>25</v>
      </c>
      <c r="BR31" s="7">
        <v>51</v>
      </c>
    </row>
    <row r="32" spans="1:70" ht="14.25" customHeight="1">
      <c r="A32" s="2">
        <v>26</v>
      </c>
      <c r="B32" s="3">
        <v>72</v>
      </c>
      <c r="C32" s="4" t="s">
        <v>37</v>
      </c>
      <c r="D32" s="7">
        <v>1395</v>
      </c>
      <c r="E32" s="7">
        <v>4517</v>
      </c>
      <c r="F32" s="7">
        <v>5912</v>
      </c>
      <c r="G32" s="7">
        <v>0</v>
      </c>
      <c r="H32" s="7">
        <v>2131</v>
      </c>
      <c r="I32" s="7">
        <f t="shared" si="0"/>
        <v>2131</v>
      </c>
      <c r="J32" s="7">
        <v>0</v>
      </c>
      <c r="K32" s="7">
        <v>13</v>
      </c>
      <c r="L32" s="7">
        <v>13</v>
      </c>
      <c r="M32" s="7">
        <v>0</v>
      </c>
      <c r="N32" s="7">
        <v>63</v>
      </c>
      <c r="O32" s="7">
        <v>63</v>
      </c>
      <c r="P32" s="7">
        <v>0</v>
      </c>
      <c r="Q32" s="7">
        <v>5</v>
      </c>
      <c r="R32" s="7">
        <v>5</v>
      </c>
      <c r="S32" s="7">
        <v>0</v>
      </c>
      <c r="T32" s="7">
        <v>772</v>
      </c>
      <c r="U32" s="7">
        <v>772</v>
      </c>
      <c r="V32" s="7">
        <v>231</v>
      </c>
      <c r="W32" s="7">
        <v>0</v>
      </c>
      <c r="X32" s="7">
        <v>231</v>
      </c>
      <c r="Y32" s="7">
        <v>25025</v>
      </c>
      <c r="Z32" s="7">
        <v>2072</v>
      </c>
      <c r="AA32" s="7">
        <v>27097</v>
      </c>
      <c r="AB32" s="7">
        <v>10586</v>
      </c>
      <c r="AC32" s="7">
        <v>914</v>
      </c>
      <c r="AD32" s="7">
        <v>11500</v>
      </c>
      <c r="AE32" s="7">
        <v>5123</v>
      </c>
      <c r="AF32" s="7">
        <v>593</v>
      </c>
      <c r="AG32" s="7">
        <v>5716</v>
      </c>
      <c r="AH32" s="7">
        <v>3151</v>
      </c>
      <c r="AI32" s="7">
        <v>743</v>
      </c>
      <c r="AJ32" s="7">
        <v>3894</v>
      </c>
      <c r="AK32" s="7">
        <v>186</v>
      </c>
      <c r="AL32" s="7">
        <v>102</v>
      </c>
      <c r="AM32" s="7">
        <v>288</v>
      </c>
      <c r="AO32" s="14">
        <v>26</v>
      </c>
      <c r="AP32" s="15">
        <v>72</v>
      </c>
      <c r="AQ32" s="16" t="s">
        <v>37</v>
      </c>
      <c r="AR32" s="7">
        <v>241</v>
      </c>
      <c r="AS32" s="7">
        <v>330</v>
      </c>
      <c r="AT32" s="7">
        <v>571</v>
      </c>
      <c r="AU32" s="7">
        <v>0</v>
      </c>
      <c r="AV32" s="7">
        <v>140</v>
      </c>
      <c r="AW32" s="7">
        <v>140</v>
      </c>
      <c r="AX32" s="7">
        <v>0</v>
      </c>
      <c r="AY32" s="7">
        <v>0</v>
      </c>
      <c r="AZ32" s="7">
        <v>0</v>
      </c>
      <c r="BA32" s="7">
        <v>0</v>
      </c>
      <c r="BB32" s="7">
        <v>2</v>
      </c>
      <c r="BC32" s="7">
        <v>2</v>
      </c>
      <c r="BD32" s="7">
        <v>6351</v>
      </c>
      <c r="BE32" s="7">
        <v>246</v>
      </c>
      <c r="BF32" s="7">
        <v>6597</v>
      </c>
      <c r="BG32" s="7">
        <v>2558</v>
      </c>
      <c r="BH32" s="7">
        <v>189</v>
      </c>
      <c r="BI32" s="7">
        <v>2747</v>
      </c>
      <c r="BJ32" s="7">
        <v>788</v>
      </c>
      <c r="BK32" s="7">
        <v>117</v>
      </c>
      <c r="BL32" s="7">
        <v>905</v>
      </c>
      <c r="BM32" s="7">
        <v>423</v>
      </c>
      <c r="BN32" s="7">
        <v>186</v>
      </c>
      <c r="BO32" s="7">
        <v>609</v>
      </c>
      <c r="BP32" s="7">
        <v>66</v>
      </c>
      <c r="BQ32" s="7">
        <v>45</v>
      </c>
      <c r="BR32" s="7">
        <v>111</v>
      </c>
    </row>
    <row r="33" spans="1:70" ht="14.25" customHeight="1">
      <c r="A33" s="2">
        <v>27</v>
      </c>
      <c r="B33" s="3">
        <v>73</v>
      </c>
      <c r="C33" s="4" t="s">
        <v>38</v>
      </c>
      <c r="D33" s="7">
        <v>1918</v>
      </c>
      <c r="E33" s="7">
        <v>10545</v>
      </c>
      <c r="F33" s="7">
        <v>12463</v>
      </c>
      <c r="G33" s="7">
        <v>0</v>
      </c>
      <c r="H33" s="7">
        <v>3001</v>
      </c>
      <c r="I33" s="7">
        <f t="shared" si="0"/>
        <v>3001</v>
      </c>
      <c r="J33" s="7">
        <v>0</v>
      </c>
      <c r="K33" s="7">
        <v>72</v>
      </c>
      <c r="L33" s="7">
        <v>72</v>
      </c>
      <c r="M33" s="7">
        <v>0</v>
      </c>
      <c r="N33" s="7">
        <v>308</v>
      </c>
      <c r="O33" s="7">
        <v>308</v>
      </c>
      <c r="P33" s="7">
        <v>0</v>
      </c>
      <c r="Q33" s="7">
        <v>23</v>
      </c>
      <c r="R33" s="7">
        <v>23</v>
      </c>
      <c r="S33" s="7">
        <v>0</v>
      </c>
      <c r="T33" s="7">
        <v>2629</v>
      </c>
      <c r="U33" s="7">
        <v>2629</v>
      </c>
      <c r="V33" s="7">
        <v>595</v>
      </c>
      <c r="W33" s="7">
        <v>0</v>
      </c>
      <c r="X33" s="7">
        <v>595</v>
      </c>
      <c r="Y33" s="7">
        <v>60688</v>
      </c>
      <c r="Z33" s="7">
        <v>5566</v>
      </c>
      <c r="AA33" s="7">
        <v>66254</v>
      </c>
      <c r="AB33" s="7">
        <v>23875</v>
      </c>
      <c r="AC33" s="7">
        <v>4318</v>
      </c>
      <c r="AD33" s="7">
        <v>28193</v>
      </c>
      <c r="AE33" s="7">
        <v>12664</v>
      </c>
      <c r="AF33" s="7">
        <v>2843</v>
      </c>
      <c r="AG33" s="7">
        <v>15507</v>
      </c>
      <c r="AH33" s="7">
        <v>7473</v>
      </c>
      <c r="AI33" s="7">
        <v>2462</v>
      </c>
      <c r="AJ33" s="7">
        <v>9935</v>
      </c>
      <c r="AK33" s="7">
        <v>513</v>
      </c>
      <c r="AL33" s="7">
        <v>559</v>
      </c>
      <c r="AM33" s="7">
        <v>1072</v>
      </c>
      <c r="AO33" s="14">
        <v>27</v>
      </c>
      <c r="AP33" s="15">
        <v>73</v>
      </c>
      <c r="AQ33" s="16" t="s">
        <v>38</v>
      </c>
      <c r="AR33" s="7">
        <v>189</v>
      </c>
      <c r="AS33" s="7">
        <v>1158</v>
      </c>
      <c r="AT33" s="7">
        <v>1347</v>
      </c>
      <c r="AU33" s="7">
        <v>0</v>
      </c>
      <c r="AV33" s="7">
        <v>232</v>
      </c>
      <c r="AW33" s="7">
        <v>232</v>
      </c>
      <c r="AX33" s="7">
        <v>0</v>
      </c>
      <c r="AY33" s="7">
        <v>6</v>
      </c>
      <c r="AZ33" s="7">
        <v>6</v>
      </c>
      <c r="BA33" s="7">
        <v>0</v>
      </c>
      <c r="BB33" s="7">
        <v>97</v>
      </c>
      <c r="BC33" s="7">
        <v>97</v>
      </c>
      <c r="BD33" s="7">
        <v>7186</v>
      </c>
      <c r="BE33" s="7">
        <v>405</v>
      </c>
      <c r="BF33" s="7">
        <v>7591</v>
      </c>
      <c r="BG33" s="7">
        <v>4941</v>
      </c>
      <c r="BH33" s="7">
        <v>603</v>
      </c>
      <c r="BI33" s="7">
        <v>5544</v>
      </c>
      <c r="BJ33" s="7">
        <v>1902</v>
      </c>
      <c r="BK33" s="7">
        <v>370</v>
      </c>
      <c r="BL33" s="7">
        <v>2272</v>
      </c>
      <c r="BM33" s="7">
        <v>1079</v>
      </c>
      <c r="BN33" s="7">
        <v>409</v>
      </c>
      <c r="BO33" s="7">
        <v>1488</v>
      </c>
      <c r="BP33" s="7">
        <v>77</v>
      </c>
      <c r="BQ33" s="7">
        <v>121</v>
      </c>
      <c r="BR33" s="7">
        <v>198</v>
      </c>
    </row>
    <row r="34" spans="1:70" ht="14.25" customHeight="1">
      <c r="A34" s="2">
        <v>28</v>
      </c>
      <c r="B34" s="3">
        <v>74</v>
      </c>
      <c r="C34" s="4" t="s">
        <v>39</v>
      </c>
      <c r="D34" s="7">
        <v>2143</v>
      </c>
      <c r="E34" s="7">
        <v>3836</v>
      </c>
      <c r="F34" s="7">
        <v>5979</v>
      </c>
      <c r="G34" s="7">
        <v>1</v>
      </c>
      <c r="H34" s="7">
        <v>786</v>
      </c>
      <c r="I34" s="7">
        <f t="shared" si="0"/>
        <v>787</v>
      </c>
      <c r="J34" s="7">
        <v>0</v>
      </c>
      <c r="K34" s="7">
        <v>7</v>
      </c>
      <c r="L34" s="7">
        <v>7</v>
      </c>
      <c r="M34" s="7">
        <v>0</v>
      </c>
      <c r="N34" s="7">
        <v>5</v>
      </c>
      <c r="O34" s="7">
        <v>5</v>
      </c>
      <c r="P34" s="7">
        <v>0</v>
      </c>
      <c r="Q34" s="7">
        <v>0</v>
      </c>
      <c r="R34" s="7">
        <v>0</v>
      </c>
      <c r="S34" s="7">
        <v>0</v>
      </c>
      <c r="T34" s="7">
        <v>1267</v>
      </c>
      <c r="U34" s="7">
        <v>1267</v>
      </c>
      <c r="V34" s="7">
        <v>248</v>
      </c>
      <c r="W34" s="7">
        <v>0</v>
      </c>
      <c r="X34" s="7">
        <v>248</v>
      </c>
      <c r="Y34" s="7">
        <v>26764</v>
      </c>
      <c r="Z34" s="7">
        <v>1009</v>
      </c>
      <c r="AA34" s="7">
        <v>27773</v>
      </c>
      <c r="AB34" s="7">
        <v>13367</v>
      </c>
      <c r="AC34" s="7">
        <v>787</v>
      </c>
      <c r="AD34" s="7">
        <v>14154</v>
      </c>
      <c r="AE34" s="7">
        <v>8569</v>
      </c>
      <c r="AF34" s="7">
        <v>547</v>
      </c>
      <c r="AG34" s="7">
        <v>9116</v>
      </c>
      <c r="AH34" s="7">
        <v>3810</v>
      </c>
      <c r="AI34" s="7">
        <v>719</v>
      </c>
      <c r="AJ34" s="7">
        <v>4529</v>
      </c>
      <c r="AK34" s="7">
        <v>211</v>
      </c>
      <c r="AL34" s="7">
        <v>443</v>
      </c>
      <c r="AM34" s="7">
        <v>654</v>
      </c>
      <c r="AO34" s="14">
        <v>28</v>
      </c>
      <c r="AP34" s="15">
        <v>74</v>
      </c>
      <c r="AQ34" s="16" t="s">
        <v>39</v>
      </c>
      <c r="AR34" s="7">
        <v>214</v>
      </c>
      <c r="AS34" s="7">
        <v>288</v>
      </c>
      <c r="AT34" s="7">
        <v>502</v>
      </c>
      <c r="AU34" s="7">
        <v>0</v>
      </c>
      <c r="AV34" s="7">
        <v>50</v>
      </c>
      <c r="AW34" s="7">
        <v>50</v>
      </c>
      <c r="AX34" s="7">
        <v>0</v>
      </c>
      <c r="AY34" s="7">
        <v>1</v>
      </c>
      <c r="AZ34" s="7">
        <v>1</v>
      </c>
      <c r="BA34" s="7">
        <v>0</v>
      </c>
      <c r="BB34" s="7">
        <v>0</v>
      </c>
      <c r="BC34" s="7">
        <v>0</v>
      </c>
      <c r="BD34" s="7">
        <v>2759</v>
      </c>
      <c r="BE34" s="7">
        <v>91</v>
      </c>
      <c r="BF34" s="7">
        <v>2850</v>
      </c>
      <c r="BG34" s="7">
        <v>1814</v>
      </c>
      <c r="BH34" s="7">
        <v>82</v>
      </c>
      <c r="BI34" s="7">
        <v>1896</v>
      </c>
      <c r="BJ34" s="7">
        <v>1321</v>
      </c>
      <c r="BK34" s="7">
        <v>59</v>
      </c>
      <c r="BL34" s="7">
        <v>1380</v>
      </c>
      <c r="BM34" s="7">
        <v>518</v>
      </c>
      <c r="BN34" s="7">
        <v>96</v>
      </c>
      <c r="BO34" s="7">
        <v>614</v>
      </c>
      <c r="BP34" s="7">
        <v>43</v>
      </c>
      <c r="BQ34" s="7">
        <v>82</v>
      </c>
      <c r="BR34" s="7">
        <v>125</v>
      </c>
    </row>
    <row r="35" spans="1:70" ht="14.25" customHeight="1">
      <c r="A35" s="2">
        <v>29</v>
      </c>
      <c r="B35" s="3">
        <v>75</v>
      </c>
      <c r="C35" s="4" t="s">
        <v>48</v>
      </c>
      <c r="D35" s="7">
        <v>1264</v>
      </c>
      <c r="E35" s="7">
        <v>816</v>
      </c>
      <c r="F35" s="7">
        <v>2080</v>
      </c>
      <c r="G35" s="7">
        <v>0</v>
      </c>
      <c r="H35" s="7">
        <v>735</v>
      </c>
      <c r="I35" s="7">
        <f t="shared" si="0"/>
        <v>735</v>
      </c>
      <c r="J35" s="7">
        <v>0</v>
      </c>
      <c r="K35" s="7">
        <v>14</v>
      </c>
      <c r="L35" s="7">
        <v>14</v>
      </c>
      <c r="M35" s="7">
        <v>0</v>
      </c>
      <c r="N35" s="7">
        <v>53</v>
      </c>
      <c r="O35" s="7">
        <v>53</v>
      </c>
      <c r="P35" s="7">
        <v>0</v>
      </c>
      <c r="Q35" s="7">
        <v>0</v>
      </c>
      <c r="R35" s="7">
        <v>0</v>
      </c>
      <c r="S35" s="7">
        <v>0</v>
      </c>
      <c r="T35" s="7">
        <v>340</v>
      </c>
      <c r="U35" s="7">
        <v>340</v>
      </c>
      <c r="V35" s="7">
        <v>183</v>
      </c>
      <c r="W35" s="7">
        <v>0</v>
      </c>
      <c r="X35" s="7">
        <v>183</v>
      </c>
      <c r="Y35" s="7">
        <v>7623</v>
      </c>
      <c r="Z35" s="7">
        <v>391</v>
      </c>
      <c r="AA35" s="7">
        <v>8014</v>
      </c>
      <c r="AB35" s="7">
        <v>3889</v>
      </c>
      <c r="AC35" s="7">
        <v>249</v>
      </c>
      <c r="AD35" s="7">
        <v>4138</v>
      </c>
      <c r="AE35" s="7">
        <v>1818</v>
      </c>
      <c r="AF35" s="7">
        <v>115</v>
      </c>
      <c r="AG35" s="7">
        <v>1933</v>
      </c>
      <c r="AH35" s="7">
        <v>1384</v>
      </c>
      <c r="AI35" s="7">
        <v>271</v>
      </c>
      <c r="AJ35" s="7">
        <v>1655</v>
      </c>
      <c r="AK35" s="7">
        <v>190</v>
      </c>
      <c r="AL35" s="7">
        <v>0</v>
      </c>
      <c r="AM35" s="7">
        <v>190</v>
      </c>
      <c r="AO35" s="14">
        <v>29</v>
      </c>
      <c r="AP35" s="15">
        <v>75</v>
      </c>
      <c r="AQ35" s="16" t="s">
        <v>48</v>
      </c>
      <c r="AR35" s="7">
        <v>103</v>
      </c>
      <c r="AS35" s="7">
        <v>59</v>
      </c>
      <c r="AT35" s="7">
        <v>162</v>
      </c>
      <c r="AU35" s="7">
        <v>0</v>
      </c>
      <c r="AV35" s="7">
        <v>27</v>
      </c>
      <c r="AW35" s="7">
        <v>27</v>
      </c>
      <c r="AX35" s="7">
        <v>0</v>
      </c>
      <c r="AY35" s="7">
        <v>1</v>
      </c>
      <c r="AZ35" s="7">
        <v>1</v>
      </c>
      <c r="BA35" s="7">
        <v>0</v>
      </c>
      <c r="BB35" s="7">
        <v>0</v>
      </c>
      <c r="BC35" s="7">
        <v>0</v>
      </c>
      <c r="BD35" s="7">
        <v>953</v>
      </c>
      <c r="BE35" s="7">
        <v>35</v>
      </c>
      <c r="BF35" s="7">
        <v>988</v>
      </c>
      <c r="BG35" s="7">
        <v>537</v>
      </c>
      <c r="BH35" s="7">
        <v>28</v>
      </c>
      <c r="BI35" s="7">
        <v>565</v>
      </c>
      <c r="BJ35" s="7">
        <v>326</v>
      </c>
      <c r="BK35" s="7">
        <v>25</v>
      </c>
      <c r="BL35" s="7">
        <v>351</v>
      </c>
      <c r="BM35" s="7">
        <v>214</v>
      </c>
      <c r="BN35" s="7">
        <v>56</v>
      </c>
      <c r="BO35" s="7">
        <v>270</v>
      </c>
      <c r="BP35" s="7">
        <v>24</v>
      </c>
      <c r="BQ35" s="7">
        <v>0</v>
      </c>
      <c r="BR35" s="7">
        <v>24</v>
      </c>
    </row>
    <row r="36" spans="1:70" ht="14.25" customHeight="1">
      <c r="A36" s="2">
        <v>30</v>
      </c>
      <c r="B36" s="3">
        <v>76</v>
      </c>
      <c r="C36" s="4" t="s">
        <v>50</v>
      </c>
      <c r="D36" s="7">
        <v>733</v>
      </c>
      <c r="E36" s="7">
        <v>1578</v>
      </c>
      <c r="F36" s="7">
        <v>2311</v>
      </c>
      <c r="G36" s="7">
        <v>3</v>
      </c>
      <c r="H36" s="7">
        <v>1929</v>
      </c>
      <c r="I36" s="7">
        <f t="shared" si="0"/>
        <v>1932</v>
      </c>
      <c r="J36" s="7">
        <v>0</v>
      </c>
      <c r="K36" s="7">
        <v>24</v>
      </c>
      <c r="L36" s="7">
        <v>24</v>
      </c>
      <c r="M36" s="7">
        <v>0</v>
      </c>
      <c r="N36" s="7">
        <v>29</v>
      </c>
      <c r="O36" s="7">
        <v>29</v>
      </c>
      <c r="P36" s="7">
        <v>0</v>
      </c>
      <c r="Q36" s="7">
        <v>0</v>
      </c>
      <c r="R36" s="7">
        <v>0</v>
      </c>
      <c r="S36" s="7">
        <v>0</v>
      </c>
      <c r="T36" s="7">
        <v>788</v>
      </c>
      <c r="U36" s="7">
        <v>788</v>
      </c>
      <c r="V36" s="7">
        <v>129</v>
      </c>
      <c r="W36" s="7">
        <v>0</v>
      </c>
      <c r="X36" s="7">
        <v>129</v>
      </c>
      <c r="Y36" s="7">
        <v>13996</v>
      </c>
      <c r="Z36" s="7">
        <v>360</v>
      </c>
      <c r="AA36" s="7">
        <v>14356</v>
      </c>
      <c r="AB36" s="7">
        <v>5134</v>
      </c>
      <c r="AC36" s="7">
        <v>491</v>
      </c>
      <c r="AD36" s="7">
        <v>5625</v>
      </c>
      <c r="AE36" s="7">
        <v>2298</v>
      </c>
      <c r="AF36" s="7">
        <v>100</v>
      </c>
      <c r="AG36" s="7">
        <v>2398</v>
      </c>
      <c r="AH36" s="7">
        <v>1912</v>
      </c>
      <c r="AI36" s="7">
        <v>558</v>
      </c>
      <c r="AJ36" s="7">
        <v>2470</v>
      </c>
      <c r="AK36" s="7">
        <v>201</v>
      </c>
      <c r="AL36" s="7">
        <v>57</v>
      </c>
      <c r="AM36" s="7">
        <v>258</v>
      </c>
      <c r="AO36" s="14">
        <v>30</v>
      </c>
      <c r="AP36" s="15">
        <v>76</v>
      </c>
      <c r="AQ36" s="16" t="s">
        <v>50</v>
      </c>
      <c r="AR36" s="7">
        <v>127</v>
      </c>
      <c r="AS36" s="7">
        <v>168</v>
      </c>
      <c r="AT36" s="7">
        <v>295</v>
      </c>
      <c r="AU36" s="7">
        <v>1</v>
      </c>
      <c r="AV36" s="7">
        <v>142</v>
      </c>
      <c r="AW36" s="7">
        <v>143</v>
      </c>
      <c r="AX36" s="7">
        <v>0</v>
      </c>
      <c r="AY36" s="7">
        <v>1</v>
      </c>
      <c r="AZ36" s="7">
        <v>1</v>
      </c>
      <c r="BA36" s="7">
        <v>0</v>
      </c>
      <c r="BB36" s="7">
        <v>0</v>
      </c>
      <c r="BC36" s="7">
        <v>0</v>
      </c>
      <c r="BD36" s="7">
        <v>2444</v>
      </c>
      <c r="BE36" s="7">
        <v>56</v>
      </c>
      <c r="BF36" s="7">
        <v>2500</v>
      </c>
      <c r="BG36" s="7">
        <v>1452</v>
      </c>
      <c r="BH36" s="7">
        <v>63</v>
      </c>
      <c r="BI36" s="7">
        <v>1515</v>
      </c>
      <c r="BJ36" s="7">
        <v>582</v>
      </c>
      <c r="BK36" s="7">
        <v>20</v>
      </c>
      <c r="BL36" s="7">
        <v>602</v>
      </c>
      <c r="BM36" s="7">
        <v>551</v>
      </c>
      <c r="BN36" s="7">
        <v>139</v>
      </c>
      <c r="BO36" s="7">
        <v>690</v>
      </c>
      <c r="BP36" s="7">
        <v>69</v>
      </c>
      <c r="BQ36" s="7">
        <v>47</v>
      </c>
      <c r="BR36" s="7">
        <v>116</v>
      </c>
    </row>
    <row r="37" spans="1:70" ht="14.25" customHeight="1">
      <c r="A37" s="2">
        <v>31</v>
      </c>
      <c r="B37" s="3">
        <v>81</v>
      </c>
      <c r="C37" s="4" t="s">
        <v>40</v>
      </c>
      <c r="D37" s="7">
        <v>768</v>
      </c>
      <c r="E37" s="7">
        <v>1480</v>
      </c>
      <c r="F37" s="7">
        <v>2248</v>
      </c>
      <c r="G37" s="7">
        <v>4</v>
      </c>
      <c r="H37" s="7">
        <v>1641</v>
      </c>
      <c r="I37" s="7">
        <f t="shared" si="0"/>
        <v>1645</v>
      </c>
      <c r="J37" s="7">
        <v>0</v>
      </c>
      <c r="K37" s="7">
        <v>0</v>
      </c>
      <c r="L37" s="7">
        <v>0</v>
      </c>
      <c r="M37" s="7">
        <v>0</v>
      </c>
      <c r="N37" s="7">
        <v>122</v>
      </c>
      <c r="O37" s="7">
        <v>122</v>
      </c>
      <c r="P37" s="7">
        <v>0</v>
      </c>
      <c r="Q37" s="7">
        <v>0</v>
      </c>
      <c r="R37" s="7">
        <v>0</v>
      </c>
      <c r="S37" s="7">
        <v>0</v>
      </c>
      <c r="T37" s="7">
        <v>300</v>
      </c>
      <c r="U37" s="7">
        <v>300</v>
      </c>
      <c r="V37" s="7">
        <v>105</v>
      </c>
      <c r="W37" s="7">
        <v>0</v>
      </c>
      <c r="X37" s="7">
        <v>105</v>
      </c>
      <c r="Y37" s="7">
        <v>14335</v>
      </c>
      <c r="Z37" s="7">
        <v>3132</v>
      </c>
      <c r="AA37" s="7">
        <v>17467</v>
      </c>
      <c r="AB37" s="7">
        <v>9629</v>
      </c>
      <c r="AC37" s="7">
        <v>1142</v>
      </c>
      <c r="AD37" s="7">
        <v>10771</v>
      </c>
      <c r="AE37" s="7">
        <v>5409</v>
      </c>
      <c r="AF37" s="7">
        <v>1031</v>
      </c>
      <c r="AG37" s="7">
        <v>6440</v>
      </c>
      <c r="AH37" s="7">
        <v>2198</v>
      </c>
      <c r="AI37" s="7">
        <v>502</v>
      </c>
      <c r="AJ37" s="7">
        <v>2700</v>
      </c>
      <c r="AK37" s="7">
        <v>135</v>
      </c>
      <c r="AL37" s="7">
        <v>32</v>
      </c>
      <c r="AM37" s="7">
        <v>167</v>
      </c>
      <c r="AO37" s="14">
        <v>31</v>
      </c>
      <c r="AP37" s="15">
        <v>81</v>
      </c>
      <c r="AQ37" s="16" t="s">
        <v>40</v>
      </c>
      <c r="AR37" s="7">
        <v>91</v>
      </c>
      <c r="AS37" s="7">
        <v>144</v>
      </c>
      <c r="AT37" s="7">
        <v>235</v>
      </c>
      <c r="AU37" s="7">
        <v>0</v>
      </c>
      <c r="AV37" s="7">
        <v>126</v>
      </c>
      <c r="AW37" s="7">
        <v>126</v>
      </c>
      <c r="AX37" s="7">
        <v>0</v>
      </c>
      <c r="AY37" s="7">
        <v>0</v>
      </c>
      <c r="AZ37" s="7">
        <v>0</v>
      </c>
      <c r="BA37" s="7">
        <v>0</v>
      </c>
      <c r="BB37" s="7">
        <v>11</v>
      </c>
      <c r="BC37" s="7">
        <v>11</v>
      </c>
      <c r="BD37" s="7">
        <v>1893</v>
      </c>
      <c r="BE37" s="7">
        <v>201</v>
      </c>
      <c r="BF37" s="7">
        <v>2094</v>
      </c>
      <c r="BG37" s="7">
        <v>1581</v>
      </c>
      <c r="BH37" s="7">
        <v>141</v>
      </c>
      <c r="BI37" s="7">
        <v>1722</v>
      </c>
      <c r="BJ37" s="7">
        <v>788</v>
      </c>
      <c r="BK37" s="7">
        <v>118</v>
      </c>
      <c r="BL37" s="7">
        <v>906</v>
      </c>
      <c r="BM37" s="7">
        <v>334</v>
      </c>
      <c r="BN37" s="7">
        <v>59</v>
      </c>
      <c r="BO37" s="7">
        <v>393</v>
      </c>
      <c r="BP37" s="7">
        <v>13</v>
      </c>
      <c r="BQ37" s="7">
        <v>1</v>
      </c>
      <c r="BR37" s="7">
        <v>14</v>
      </c>
    </row>
    <row r="38" spans="1:70" ht="14.25" customHeight="1">
      <c r="A38" s="2">
        <v>32</v>
      </c>
      <c r="B38" s="3">
        <v>82</v>
      </c>
      <c r="C38" s="4" t="s">
        <v>45</v>
      </c>
      <c r="D38" s="7">
        <v>840</v>
      </c>
      <c r="E38" s="7">
        <v>1016</v>
      </c>
      <c r="F38" s="7">
        <v>1856</v>
      </c>
      <c r="G38" s="7">
        <v>104</v>
      </c>
      <c r="H38" s="7">
        <v>1157</v>
      </c>
      <c r="I38" s="7">
        <f t="shared" si="0"/>
        <v>1261</v>
      </c>
      <c r="J38" s="7">
        <v>0</v>
      </c>
      <c r="K38" s="7">
        <v>0</v>
      </c>
      <c r="L38" s="7">
        <v>0</v>
      </c>
      <c r="M38" s="7">
        <v>0</v>
      </c>
      <c r="N38" s="7">
        <v>59</v>
      </c>
      <c r="O38" s="7">
        <v>59</v>
      </c>
      <c r="P38" s="7">
        <v>0</v>
      </c>
      <c r="Q38" s="7">
        <v>0</v>
      </c>
      <c r="R38" s="7">
        <v>0</v>
      </c>
      <c r="S38" s="7">
        <v>0</v>
      </c>
      <c r="T38" s="7">
        <v>461</v>
      </c>
      <c r="U38" s="7">
        <v>461</v>
      </c>
      <c r="V38" s="7">
        <v>67</v>
      </c>
      <c r="W38" s="7">
        <v>0</v>
      </c>
      <c r="X38" s="7">
        <v>67</v>
      </c>
      <c r="Y38" s="7">
        <v>11406</v>
      </c>
      <c r="Z38" s="7">
        <v>1133</v>
      </c>
      <c r="AA38" s="7">
        <v>12539</v>
      </c>
      <c r="AB38" s="7">
        <v>5819</v>
      </c>
      <c r="AC38" s="7">
        <v>863</v>
      </c>
      <c r="AD38" s="7">
        <v>6682</v>
      </c>
      <c r="AE38" s="7">
        <v>3147</v>
      </c>
      <c r="AF38" s="7">
        <v>598</v>
      </c>
      <c r="AG38" s="7">
        <v>3745</v>
      </c>
      <c r="AH38" s="7">
        <v>1262</v>
      </c>
      <c r="AI38" s="7">
        <v>633</v>
      </c>
      <c r="AJ38" s="7">
        <v>1895</v>
      </c>
      <c r="AK38" s="7">
        <v>201</v>
      </c>
      <c r="AL38" s="7">
        <v>61</v>
      </c>
      <c r="AM38" s="7">
        <v>262</v>
      </c>
      <c r="AO38" s="14">
        <v>32</v>
      </c>
      <c r="AP38" s="15">
        <v>82</v>
      </c>
      <c r="AQ38" s="16" t="s">
        <v>45</v>
      </c>
      <c r="AR38" s="7">
        <v>132</v>
      </c>
      <c r="AS38" s="7">
        <v>95</v>
      </c>
      <c r="AT38" s="7">
        <v>227</v>
      </c>
      <c r="AU38" s="7">
        <v>7</v>
      </c>
      <c r="AV38" s="7">
        <v>53</v>
      </c>
      <c r="AW38" s="7">
        <v>60</v>
      </c>
      <c r="AX38" s="7">
        <v>0</v>
      </c>
      <c r="AY38" s="7">
        <v>0</v>
      </c>
      <c r="AZ38" s="7">
        <v>0</v>
      </c>
      <c r="BA38" s="7">
        <v>0</v>
      </c>
      <c r="BB38" s="7">
        <v>8</v>
      </c>
      <c r="BC38" s="7">
        <v>8</v>
      </c>
      <c r="BD38" s="7">
        <v>1321</v>
      </c>
      <c r="BE38" s="7">
        <v>78</v>
      </c>
      <c r="BF38" s="7">
        <v>1399</v>
      </c>
      <c r="BG38" s="7">
        <v>768</v>
      </c>
      <c r="BH38" s="7">
        <v>91</v>
      </c>
      <c r="BI38" s="7">
        <v>859</v>
      </c>
      <c r="BJ38" s="7">
        <v>474</v>
      </c>
      <c r="BK38" s="7">
        <v>61</v>
      </c>
      <c r="BL38" s="7">
        <v>535</v>
      </c>
      <c r="BM38" s="7">
        <v>191</v>
      </c>
      <c r="BN38" s="7">
        <v>74</v>
      </c>
      <c r="BO38" s="7">
        <v>265</v>
      </c>
      <c r="BP38" s="7">
        <v>70</v>
      </c>
      <c r="BQ38" s="7">
        <v>23</v>
      </c>
      <c r="BR38" s="7">
        <v>93</v>
      </c>
    </row>
    <row r="39" spans="1:70" ht="14.25" customHeight="1">
      <c r="A39" s="2">
        <v>33</v>
      </c>
      <c r="B39" s="3">
        <v>91</v>
      </c>
      <c r="C39" s="4" t="s">
        <v>52</v>
      </c>
      <c r="D39" s="7">
        <v>123</v>
      </c>
      <c r="E39" s="7">
        <v>793</v>
      </c>
      <c r="F39" s="7">
        <v>916</v>
      </c>
      <c r="G39" s="7">
        <v>24</v>
      </c>
      <c r="H39" s="7">
        <v>543</v>
      </c>
      <c r="I39" s="7">
        <f t="shared" si="0"/>
        <v>567</v>
      </c>
      <c r="J39" s="7">
        <v>0</v>
      </c>
      <c r="K39" s="7">
        <v>6</v>
      </c>
      <c r="L39" s="7">
        <v>6</v>
      </c>
      <c r="M39" s="7">
        <v>6</v>
      </c>
      <c r="N39" s="7">
        <v>195</v>
      </c>
      <c r="O39" s="7">
        <v>201</v>
      </c>
      <c r="P39" s="7">
        <v>0</v>
      </c>
      <c r="Q39" s="7">
        <v>0</v>
      </c>
      <c r="R39" s="7">
        <v>0</v>
      </c>
      <c r="S39" s="7">
        <v>0</v>
      </c>
      <c r="T39" s="7">
        <v>374</v>
      </c>
      <c r="U39" s="7">
        <v>374</v>
      </c>
      <c r="V39" s="7">
        <v>41</v>
      </c>
      <c r="W39" s="7">
        <v>0</v>
      </c>
      <c r="X39" s="7">
        <v>41</v>
      </c>
      <c r="Y39" s="7">
        <v>4599</v>
      </c>
      <c r="Z39" s="7">
        <v>2495</v>
      </c>
      <c r="AA39" s="7">
        <v>7094</v>
      </c>
      <c r="AB39" s="7">
        <v>2917</v>
      </c>
      <c r="AC39" s="7">
        <v>784</v>
      </c>
      <c r="AD39" s="7">
        <v>3701</v>
      </c>
      <c r="AE39" s="7">
        <v>1557</v>
      </c>
      <c r="AF39" s="7">
        <v>716</v>
      </c>
      <c r="AG39" s="7">
        <v>2273</v>
      </c>
      <c r="AH39" s="7">
        <v>948</v>
      </c>
      <c r="AI39" s="7">
        <v>283</v>
      </c>
      <c r="AJ39" s="7">
        <v>1231</v>
      </c>
      <c r="AK39" s="7">
        <v>56</v>
      </c>
      <c r="AL39" s="7">
        <v>10</v>
      </c>
      <c r="AM39" s="7">
        <v>66</v>
      </c>
      <c r="AO39" s="14">
        <v>33</v>
      </c>
      <c r="AP39" s="15">
        <v>91</v>
      </c>
      <c r="AQ39" s="16" t="s">
        <v>52</v>
      </c>
      <c r="AR39" s="7">
        <v>16</v>
      </c>
      <c r="AS39" s="7">
        <v>87</v>
      </c>
      <c r="AT39" s="7">
        <v>103</v>
      </c>
      <c r="AU39" s="7">
        <v>3</v>
      </c>
      <c r="AV39" s="7">
        <v>75</v>
      </c>
      <c r="AW39" s="7">
        <v>78</v>
      </c>
      <c r="AX39" s="7">
        <v>0</v>
      </c>
      <c r="AY39" s="7">
        <v>1</v>
      </c>
      <c r="AZ39" s="7">
        <v>1</v>
      </c>
      <c r="BA39" s="7">
        <v>0</v>
      </c>
      <c r="BB39" s="7">
        <v>20</v>
      </c>
      <c r="BC39" s="7">
        <v>20</v>
      </c>
      <c r="BD39" s="7">
        <v>349</v>
      </c>
      <c r="BE39" s="7">
        <v>196</v>
      </c>
      <c r="BF39" s="7">
        <v>545</v>
      </c>
      <c r="BG39" s="7">
        <v>423</v>
      </c>
      <c r="BH39" s="7">
        <v>100</v>
      </c>
      <c r="BI39" s="7">
        <v>523</v>
      </c>
      <c r="BJ39" s="7">
        <v>231</v>
      </c>
      <c r="BK39" s="7">
        <v>128</v>
      </c>
      <c r="BL39" s="7">
        <v>359</v>
      </c>
      <c r="BM39" s="7">
        <v>157</v>
      </c>
      <c r="BN39" s="7">
        <v>50</v>
      </c>
      <c r="BO39" s="7">
        <v>207</v>
      </c>
      <c r="BP39" s="7">
        <v>24</v>
      </c>
      <c r="BQ39" s="7">
        <v>2</v>
      </c>
      <c r="BR39" s="7">
        <v>26</v>
      </c>
    </row>
    <row r="40" spans="1:70" ht="14.25" customHeight="1">
      <c r="A40" s="2">
        <v>34</v>
      </c>
      <c r="B40" s="3">
        <v>92</v>
      </c>
      <c r="C40" s="4" t="s">
        <v>53</v>
      </c>
      <c r="D40" s="7">
        <v>204</v>
      </c>
      <c r="E40" s="7">
        <v>572</v>
      </c>
      <c r="F40" s="7">
        <v>776</v>
      </c>
      <c r="G40" s="7">
        <v>33</v>
      </c>
      <c r="H40" s="7">
        <v>312</v>
      </c>
      <c r="I40" s="7">
        <f t="shared" si="0"/>
        <v>345</v>
      </c>
      <c r="J40" s="7">
        <v>0</v>
      </c>
      <c r="K40" s="7">
        <v>4</v>
      </c>
      <c r="L40" s="7">
        <v>4</v>
      </c>
      <c r="M40" s="7">
        <v>0</v>
      </c>
      <c r="N40" s="7">
        <v>4</v>
      </c>
      <c r="O40" s="7">
        <v>4</v>
      </c>
      <c r="P40" s="7">
        <v>0</v>
      </c>
      <c r="Q40" s="7">
        <v>2</v>
      </c>
      <c r="R40" s="7">
        <v>2</v>
      </c>
      <c r="S40" s="7">
        <v>3</v>
      </c>
      <c r="T40" s="7">
        <v>80</v>
      </c>
      <c r="U40" s="7">
        <v>83</v>
      </c>
      <c r="V40" s="7">
        <v>25</v>
      </c>
      <c r="W40" s="7">
        <v>0</v>
      </c>
      <c r="X40" s="7">
        <v>25</v>
      </c>
      <c r="Y40" s="7">
        <v>3991</v>
      </c>
      <c r="Z40" s="7">
        <v>1345</v>
      </c>
      <c r="AA40" s="7">
        <v>5336</v>
      </c>
      <c r="AB40" s="7">
        <v>1868</v>
      </c>
      <c r="AC40" s="7">
        <v>473</v>
      </c>
      <c r="AD40" s="7">
        <v>2341</v>
      </c>
      <c r="AE40" s="7">
        <v>1038</v>
      </c>
      <c r="AF40" s="7">
        <v>312</v>
      </c>
      <c r="AG40" s="7">
        <v>1350</v>
      </c>
      <c r="AH40" s="7">
        <v>529</v>
      </c>
      <c r="AI40" s="7">
        <v>94</v>
      </c>
      <c r="AJ40" s="7">
        <v>623</v>
      </c>
      <c r="AK40" s="7">
        <v>12</v>
      </c>
      <c r="AL40" s="7">
        <v>0</v>
      </c>
      <c r="AM40" s="7">
        <v>12</v>
      </c>
      <c r="AO40" s="14">
        <v>34</v>
      </c>
      <c r="AP40" s="15">
        <v>92</v>
      </c>
      <c r="AQ40" s="16" t="s">
        <v>53</v>
      </c>
      <c r="AR40" s="7">
        <v>9</v>
      </c>
      <c r="AS40" s="7">
        <v>20</v>
      </c>
      <c r="AT40" s="7">
        <v>29</v>
      </c>
      <c r="AU40" s="7">
        <v>1</v>
      </c>
      <c r="AV40" s="7">
        <v>24</v>
      </c>
      <c r="AW40" s="7">
        <v>25</v>
      </c>
      <c r="AX40" s="7">
        <v>0</v>
      </c>
      <c r="AY40" s="7">
        <v>1</v>
      </c>
      <c r="AZ40" s="7">
        <v>1</v>
      </c>
      <c r="BA40" s="7">
        <v>0</v>
      </c>
      <c r="BB40" s="7">
        <v>0</v>
      </c>
      <c r="BC40" s="7">
        <v>0</v>
      </c>
      <c r="BD40" s="7">
        <v>168</v>
      </c>
      <c r="BE40" s="7">
        <v>74</v>
      </c>
      <c r="BF40" s="7">
        <v>242</v>
      </c>
      <c r="BG40" s="7">
        <v>173</v>
      </c>
      <c r="BH40" s="7">
        <v>59</v>
      </c>
      <c r="BI40" s="7">
        <v>232</v>
      </c>
      <c r="BJ40" s="7">
        <v>94</v>
      </c>
      <c r="BK40" s="7">
        <v>44</v>
      </c>
      <c r="BL40" s="7">
        <v>138</v>
      </c>
      <c r="BM40" s="7">
        <v>41</v>
      </c>
      <c r="BN40" s="7">
        <v>9</v>
      </c>
      <c r="BO40" s="7">
        <v>50</v>
      </c>
      <c r="BP40" s="7">
        <v>0</v>
      </c>
      <c r="BQ40" s="7">
        <v>0</v>
      </c>
      <c r="BR40" s="7">
        <v>0</v>
      </c>
    </row>
    <row r="41" spans="1:70" ht="14.25" customHeight="1">
      <c r="A41" s="2">
        <v>35</v>
      </c>
      <c r="B41" s="3">
        <v>93</v>
      </c>
      <c r="C41" s="4" t="s">
        <v>56</v>
      </c>
      <c r="D41" s="7">
        <v>269</v>
      </c>
      <c r="E41" s="7">
        <v>468</v>
      </c>
      <c r="F41" s="7">
        <v>737</v>
      </c>
      <c r="G41" s="7">
        <v>80</v>
      </c>
      <c r="H41" s="7">
        <v>128</v>
      </c>
      <c r="I41" s="7">
        <f t="shared" si="0"/>
        <v>208</v>
      </c>
      <c r="J41" s="7">
        <v>0</v>
      </c>
      <c r="K41" s="7">
        <v>0</v>
      </c>
      <c r="L41" s="7">
        <v>0</v>
      </c>
      <c r="M41" s="7">
        <v>2</v>
      </c>
      <c r="N41" s="7">
        <v>24</v>
      </c>
      <c r="O41" s="7">
        <v>26</v>
      </c>
      <c r="P41" s="7">
        <v>0</v>
      </c>
      <c r="Q41" s="7">
        <v>0</v>
      </c>
      <c r="R41" s="7">
        <v>0</v>
      </c>
      <c r="S41" s="7">
        <v>27</v>
      </c>
      <c r="T41" s="7">
        <v>123</v>
      </c>
      <c r="U41" s="7">
        <v>150</v>
      </c>
      <c r="V41" s="7">
        <v>30</v>
      </c>
      <c r="W41" s="7">
        <v>0</v>
      </c>
      <c r="X41" s="7">
        <v>30</v>
      </c>
      <c r="Y41" s="7">
        <v>2772</v>
      </c>
      <c r="Z41" s="7">
        <v>1408</v>
      </c>
      <c r="AA41" s="7">
        <v>4180</v>
      </c>
      <c r="AB41" s="7">
        <v>1556</v>
      </c>
      <c r="AC41" s="7">
        <v>393</v>
      </c>
      <c r="AD41" s="7">
        <v>1949</v>
      </c>
      <c r="AE41" s="7">
        <v>690</v>
      </c>
      <c r="AF41" s="7">
        <v>203</v>
      </c>
      <c r="AG41" s="7">
        <v>893</v>
      </c>
      <c r="AH41" s="7">
        <v>598</v>
      </c>
      <c r="AI41" s="7">
        <v>62</v>
      </c>
      <c r="AJ41" s="7">
        <v>660</v>
      </c>
      <c r="AK41" s="7">
        <v>24</v>
      </c>
      <c r="AL41" s="7">
        <v>3</v>
      </c>
      <c r="AM41" s="7">
        <v>27</v>
      </c>
      <c r="AO41" s="14">
        <v>35</v>
      </c>
      <c r="AP41" s="15">
        <v>93</v>
      </c>
      <c r="AQ41" s="16" t="s">
        <v>56</v>
      </c>
      <c r="AR41" s="7">
        <v>10</v>
      </c>
      <c r="AS41" s="7">
        <v>17</v>
      </c>
      <c r="AT41" s="7">
        <v>27</v>
      </c>
      <c r="AU41" s="7">
        <v>2</v>
      </c>
      <c r="AV41" s="7">
        <v>9</v>
      </c>
      <c r="AW41" s="7">
        <v>11</v>
      </c>
      <c r="AX41" s="7">
        <v>0</v>
      </c>
      <c r="AY41" s="7">
        <v>0</v>
      </c>
      <c r="AZ41" s="7">
        <v>0</v>
      </c>
      <c r="BA41" s="7">
        <v>0</v>
      </c>
      <c r="BB41" s="7">
        <v>1</v>
      </c>
      <c r="BC41" s="7">
        <v>1</v>
      </c>
      <c r="BD41" s="7">
        <v>132</v>
      </c>
      <c r="BE41" s="7">
        <v>81</v>
      </c>
      <c r="BF41" s="7">
        <v>213</v>
      </c>
      <c r="BG41" s="7">
        <v>102</v>
      </c>
      <c r="BH41" s="7">
        <v>58</v>
      </c>
      <c r="BI41" s="7">
        <v>160</v>
      </c>
      <c r="BJ41" s="7">
        <v>64</v>
      </c>
      <c r="BK41" s="7">
        <v>34</v>
      </c>
      <c r="BL41" s="7">
        <v>98</v>
      </c>
      <c r="BM41" s="7">
        <v>48</v>
      </c>
      <c r="BN41" s="7">
        <v>7</v>
      </c>
      <c r="BO41" s="7">
        <v>55</v>
      </c>
      <c r="BP41" s="7">
        <v>4</v>
      </c>
      <c r="BQ41" s="7">
        <v>1</v>
      </c>
      <c r="BR41" s="7">
        <v>5</v>
      </c>
    </row>
    <row r="42" spans="1:70" ht="14.25" customHeight="1">
      <c r="A42" s="2">
        <v>36</v>
      </c>
      <c r="B42" s="3">
        <v>94</v>
      </c>
      <c r="C42" s="4" t="s">
        <v>57</v>
      </c>
      <c r="D42" s="7">
        <v>225</v>
      </c>
      <c r="E42" s="7">
        <v>661</v>
      </c>
      <c r="F42" s="7">
        <v>886</v>
      </c>
      <c r="G42" s="7">
        <v>21</v>
      </c>
      <c r="H42" s="7">
        <v>29</v>
      </c>
      <c r="I42" s="7">
        <f t="shared" si="0"/>
        <v>50</v>
      </c>
      <c r="J42" s="7">
        <v>0</v>
      </c>
      <c r="K42" s="7">
        <v>6</v>
      </c>
      <c r="L42" s="7">
        <v>6</v>
      </c>
      <c r="M42" s="7">
        <v>3</v>
      </c>
      <c r="N42" s="7">
        <v>19</v>
      </c>
      <c r="O42" s="7">
        <v>22</v>
      </c>
      <c r="P42" s="7">
        <v>0</v>
      </c>
      <c r="Q42" s="7">
        <v>0</v>
      </c>
      <c r="R42" s="7">
        <v>0</v>
      </c>
      <c r="S42" s="7">
        <v>26</v>
      </c>
      <c r="T42" s="7">
        <v>579</v>
      </c>
      <c r="U42" s="7">
        <v>605</v>
      </c>
      <c r="V42" s="7">
        <v>5</v>
      </c>
      <c r="W42" s="7">
        <v>0</v>
      </c>
      <c r="X42" s="7">
        <v>5</v>
      </c>
      <c r="Y42" s="7">
        <v>3091</v>
      </c>
      <c r="Z42" s="7">
        <v>2074</v>
      </c>
      <c r="AA42" s="7">
        <v>5165</v>
      </c>
      <c r="AB42" s="7">
        <v>1685</v>
      </c>
      <c r="AC42" s="7">
        <v>686</v>
      </c>
      <c r="AD42" s="7">
        <v>2371</v>
      </c>
      <c r="AE42" s="7">
        <v>762</v>
      </c>
      <c r="AF42" s="7">
        <v>341</v>
      </c>
      <c r="AG42" s="7">
        <v>1103</v>
      </c>
      <c r="AH42" s="7">
        <v>513</v>
      </c>
      <c r="AI42" s="7">
        <v>435</v>
      </c>
      <c r="AJ42" s="7">
        <v>948</v>
      </c>
      <c r="AK42" s="7">
        <v>12</v>
      </c>
      <c r="AL42" s="7">
        <v>18</v>
      </c>
      <c r="AM42" s="7">
        <v>30</v>
      </c>
      <c r="AO42" s="14">
        <v>36</v>
      </c>
      <c r="AP42" s="15">
        <v>94</v>
      </c>
      <c r="AQ42" s="16" t="s">
        <v>57</v>
      </c>
      <c r="AR42" s="7">
        <v>3</v>
      </c>
      <c r="AS42" s="7">
        <v>39</v>
      </c>
      <c r="AT42" s="7">
        <v>42</v>
      </c>
      <c r="AU42" s="7">
        <v>0</v>
      </c>
      <c r="AV42" s="7">
        <v>3</v>
      </c>
      <c r="AW42" s="7">
        <v>3</v>
      </c>
      <c r="AX42" s="7">
        <v>0</v>
      </c>
      <c r="AY42" s="7">
        <v>0</v>
      </c>
      <c r="AZ42" s="7">
        <v>0</v>
      </c>
      <c r="BA42" s="7">
        <v>0</v>
      </c>
      <c r="BB42" s="7">
        <v>2</v>
      </c>
      <c r="BC42" s="7">
        <v>2</v>
      </c>
      <c r="BD42" s="7">
        <v>80</v>
      </c>
      <c r="BE42" s="7">
        <v>70</v>
      </c>
      <c r="BF42" s="7">
        <v>150</v>
      </c>
      <c r="BG42" s="7">
        <v>116</v>
      </c>
      <c r="BH42" s="7">
        <v>52</v>
      </c>
      <c r="BI42" s="7">
        <v>168</v>
      </c>
      <c r="BJ42" s="7">
        <v>51</v>
      </c>
      <c r="BK42" s="7">
        <v>42</v>
      </c>
      <c r="BL42" s="7">
        <v>93</v>
      </c>
      <c r="BM42" s="7">
        <v>40</v>
      </c>
      <c r="BN42" s="7">
        <v>53</v>
      </c>
      <c r="BO42" s="7">
        <v>93</v>
      </c>
      <c r="BP42" s="7">
        <v>1</v>
      </c>
      <c r="BQ42" s="7">
        <v>4</v>
      </c>
      <c r="BR42" s="7">
        <v>5</v>
      </c>
    </row>
    <row r="43" spans="1:70" ht="14.25" customHeight="1">
      <c r="A43" s="2">
        <v>37</v>
      </c>
      <c r="B43" s="3">
        <v>95</v>
      </c>
      <c r="C43" s="4" t="s">
        <v>55</v>
      </c>
      <c r="D43" s="7">
        <v>69</v>
      </c>
      <c r="E43" s="7">
        <v>214</v>
      </c>
      <c r="F43" s="7">
        <v>283</v>
      </c>
      <c r="G43" s="7">
        <v>2</v>
      </c>
      <c r="H43" s="7">
        <v>129</v>
      </c>
      <c r="I43" s="7">
        <f t="shared" si="0"/>
        <v>131</v>
      </c>
      <c r="J43" s="7">
        <v>0</v>
      </c>
      <c r="K43" s="7">
        <v>0</v>
      </c>
      <c r="L43" s="7">
        <v>0</v>
      </c>
      <c r="M43" s="7">
        <v>0</v>
      </c>
      <c r="N43" s="7">
        <v>58</v>
      </c>
      <c r="O43" s="7">
        <v>58</v>
      </c>
      <c r="P43" s="7">
        <v>0</v>
      </c>
      <c r="Q43" s="7">
        <v>0</v>
      </c>
      <c r="R43" s="7">
        <v>0</v>
      </c>
      <c r="S43" s="7">
        <v>23</v>
      </c>
      <c r="T43" s="7">
        <v>528</v>
      </c>
      <c r="U43" s="7">
        <v>551</v>
      </c>
      <c r="V43" s="7">
        <v>0</v>
      </c>
      <c r="W43" s="7">
        <v>0</v>
      </c>
      <c r="X43" s="7">
        <v>0</v>
      </c>
      <c r="Y43" s="7">
        <v>3153</v>
      </c>
      <c r="Z43" s="7">
        <v>942</v>
      </c>
      <c r="AA43" s="7">
        <v>4095</v>
      </c>
      <c r="AB43" s="7">
        <v>1559</v>
      </c>
      <c r="AC43" s="7">
        <v>332</v>
      </c>
      <c r="AD43" s="7">
        <v>1891</v>
      </c>
      <c r="AE43" s="7">
        <v>620</v>
      </c>
      <c r="AF43" s="7">
        <v>232</v>
      </c>
      <c r="AG43" s="7">
        <v>852</v>
      </c>
      <c r="AH43" s="7">
        <v>137</v>
      </c>
      <c r="AI43" s="7">
        <v>118</v>
      </c>
      <c r="AJ43" s="7">
        <v>255</v>
      </c>
      <c r="AK43" s="7">
        <v>0</v>
      </c>
      <c r="AL43" s="7">
        <v>0</v>
      </c>
      <c r="AM43" s="7">
        <v>0</v>
      </c>
      <c r="AO43" s="14">
        <v>37</v>
      </c>
      <c r="AP43" s="15">
        <v>95</v>
      </c>
      <c r="AQ43" s="16" t="s">
        <v>55</v>
      </c>
      <c r="AR43" s="7">
        <v>2</v>
      </c>
      <c r="AS43" s="7">
        <v>10</v>
      </c>
      <c r="AT43" s="7">
        <v>12</v>
      </c>
      <c r="AU43" s="7">
        <v>0</v>
      </c>
      <c r="AV43" s="7">
        <v>4</v>
      </c>
      <c r="AW43" s="7">
        <v>4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54</v>
      </c>
      <c r="BE43" s="7">
        <v>33</v>
      </c>
      <c r="BF43" s="7">
        <v>87</v>
      </c>
      <c r="BG43" s="7">
        <v>32</v>
      </c>
      <c r="BH43" s="7">
        <v>22</v>
      </c>
      <c r="BI43" s="7">
        <v>54</v>
      </c>
      <c r="BJ43" s="7">
        <v>16</v>
      </c>
      <c r="BK43" s="7">
        <v>11</v>
      </c>
      <c r="BL43" s="7">
        <v>27</v>
      </c>
      <c r="BM43" s="7">
        <v>1</v>
      </c>
      <c r="BN43" s="7">
        <v>11</v>
      </c>
      <c r="BO43" s="7">
        <v>12</v>
      </c>
      <c r="BP43" s="7">
        <v>0</v>
      </c>
      <c r="BQ43" s="7">
        <v>0</v>
      </c>
      <c r="BR43" s="7">
        <v>0</v>
      </c>
    </row>
    <row r="44" spans="1:70" ht="14.25" customHeight="1">
      <c r="A44" s="2">
        <v>38</v>
      </c>
      <c r="B44" s="3">
        <v>96</v>
      </c>
      <c r="C44" s="4" t="s">
        <v>54</v>
      </c>
      <c r="D44" s="7">
        <v>105</v>
      </c>
      <c r="E44" s="7">
        <v>348</v>
      </c>
      <c r="F44" s="7">
        <v>453</v>
      </c>
      <c r="G44" s="7">
        <v>11</v>
      </c>
      <c r="H44" s="7">
        <v>93</v>
      </c>
      <c r="I44" s="7">
        <f t="shared" si="0"/>
        <v>104</v>
      </c>
      <c r="J44" s="7">
        <v>0</v>
      </c>
      <c r="K44" s="7">
        <v>0</v>
      </c>
      <c r="L44" s="7">
        <v>0</v>
      </c>
      <c r="M44" s="7">
        <v>3</v>
      </c>
      <c r="N44" s="7">
        <v>14</v>
      </c>
      <c r="O44" s="7">
        <v>17</v>
      </c>
      <c r="P44" s="7">
        <v>0</v>
      </c>
      <c r="Q44" s="7">
        <v>0</v>
      </c>
      <c r="R44" s="7">
        <v>0</v>
      </c>
      <c r="S44" s="7">
        <v>14</v>
      </c>
      <c r="T44" s="7">
        <v>95</v>
      </c>
      <c r="U44" s="7">
        <v>109</v>
      </c>
      <c r="V44" s="7">
        <v>0</v>
      </c>
      <c r="W44" s="7">
        <v>0</v>
      </c>
      <c r="X44" s="7">
        <v>0</v>
      </c>
      <c r="Y44" s="7">
        <v>3579</v>
      </c>
      <c r="Z44" s="7">
        <v>1444</v>
      </c>
      <c r="AA44" s="7">
        <v>5023</v>
      </c>
      <c r="AB44" s="7">
        <v>1932</v>
      </c>
      <c r="AC44" s="7">
        <v>478</v>
      </c>
      <c r="AD44" s="7">
        <v>2410</v>
      </c>
      <c r="AE44" s="7">
        <v>1096</v>
      </c>
      <c r="AF44" s="7">
        <v>342</v>
      </c>
      <c r="AG44" s="7">
        <v>1438</v>
      </c>
      <c r="AH44" s="7">
        <v>552</v>
      </c>
      <c r="AI44" s="7">
        <v>249</v>
      </c>
      <c r="AJ44" s="7">
        <v>801</v>
      </c>
      <c r="AK44" s="7">
        <v>47</v>
      </c>
      <c r="AL44" s="7">
        <v>0</v>
      </c>
      <c r="AM44" s="7">
        <v>47</v>
      </c>
      <c r="AO44" s="14">
        <v>38</v>
      </c>
      <c r="AP44" s="15">
        <v>96</v>
      </c>
      <c r="AQ44" s="16" t="s">
        <v>54</v>
      </c>
      <c r="AR44" s="7">
        <v>12</v>
      </c>
      <c r="AS44" s="7">
        <v>34</v>
      </c>
      <c r="AT44" s="7">
        <v>46</v>
      </c>
      <c r="AU44" s="7">
        <v>4</v>
      </c>
      <c r="AV44" s="7">
        <v>7</v>
      </c>
      <c r="AW44" s="7">
        <v>11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105</v>
      </c>
      <c r="BE44" s="7">
        <v>88</v>
      </c>
      <c r="BF44" s="7">
        <v>193</v>
      </c>
      <c r="BG44" s="7">
        <v>109</v>
      </c>
      <c r="BH44" s="7">
        <v>49</v>
      </c>
      <c r="BI44" s="7">
        <v>158</v>
      </c>
      <c r="BJ44" s="7">
        <v>78</v>
      </c>
      <c r="BK44" s="7">
        <v>32</v>
      </c>
      <c r="BL44" s="7">
        <v>110</v>
      </c>
      <c r="BM44" s="7">
        <v>48</v>
      </c>
      <c r="BN44" s="7">
        <v>40</v>
      </c>
      <c r="BO44" s="7">
        <v>88</v>
      </c>
      <c r="BP44" s="7">
        <v>4</v>
      </c>
      <c r="BQ44" s="7">
        <v>0</v>
      </c>
      <c r="BR44" s="7">
        <v>4</v>
      </c>
    </row>
    <row r="45" spans="1:70" ht="14.25" customHeight="1">
      <c r="A45" s="5">
        <v>39</v>
      </c>
      <c r="B45" s="20" t="s">
        <v>86</v>
      </c>
      <c r="C45" s="6" t="s">
        <v>58</v>
      </c>
      <c r="D45" s="7">
        <v>12</v>
      </c>
      <c r="E45" s="7">
        <v>2</v>
      </c>
      <c r="F45" s="7">
        <v>14</v>
      </c>
      <c r="G45" s="7">
        <v>0</v>
      </c>
      <c r="H45" s="7">
        <v>0</v>
      </c>
      <c r="I45" s="7">
        <f t="shared" si="0"/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26</v>
      </c>
      <c r="U45" s="7">
        <v>26</v>
      </c>
      <c r="V45" s="7">
        <v>0</v>
      </c>
      <c r="W45" s="7">
        <v>0</v>
      </c>
      <c r="X45" s="7">
        <v>0</v>
      </c>
      <c r="Y45" s="7">
        <v>366</v>
      </c>
      <c r="Z45" s="7">
        <v>109</v>
      </c>
      <c r="AA45" s="7">
        <v>475</v>
      </c>
      <c r="AB45" s="7">
        <v>167</v>
      </c>
      <c r="AC45" s="7">
        <v>48</v>
      </c>
      <c r="AD45" s="7">
        <v>215</v>
      </c>
      <c r="AE45" s="7">
        <v>89</v>
      </c>
      <c r="AF45" s="7">
        <v>15</v>
      </c>
      <c r="AG45" s="7">
        <v>104</v>
      </c>
      <c r="AH45" s="7">
        <v>6</v>
      </c>
      <c r="AI45" s="7">
        <v>0</v>
      </c>
      <c r="AJ45" s="7">
        <v>6</v>
      </c>
      <c r="AK45" s="7">
        <v>0</v>
      </c>
      <c r="AL45" s="7">
        <v>0</v>
      </c>
      <c r="AM45" s="7">
        <v>0</v>
      </c>
      <c r="AO45" s="14">
        <v>39</v>
      </c>
      <c r="AP45" s="25" t="s">
        <v>86</v>
      </c>
      <c r="AQ45" s="17" t="s">
        <v>58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12</v>
      </c>
      <c r="BE45" s="7">
        <v>0</v>
      </c>
      <c r="BF45" s="7">
        <v>12</v>
      </c>
      <c r="BG45" s="7">
        <v>10</v>
      </c>
      <c r="BH45" s="7">
        <v>0</v>
      </c>
      <c r="BI45" s="7">
        <v>10</v>
      </c>
      <c r="BJ45" s="7">
        <v>4</v>
      </c>
      <c r="BK45" s="7">
        <v>2</v>
      </c>
      <c r="BL45" s="7">
        <v>6</v>
      </c>
      <c r="BM45" s="7">
        <v>1</v>
      </c>
      <c r="BN45" s="7">
        <v>0</v>
      </c>
      <c r="BO45" s="7">
        <v>1</v>
      </c>
      <c r="BP45" s="7">
        <v>0</v>
      </c>
      <c r="BQ45" s="7">
        <v>0</v>
      </c>
      <c r="BR45" s="7">
        <v>0</v>
      </c>
    </row>
    <row r="46" spans="1:70" ht="14.25" customHeight="1">
      <c r="A46" s="26"/>
      <c r="B46" s="27"/>
      <c r="C46" s="24" t="s">
        <v>59</v>
      </c>
      <c r="D46" s="7">
        <f t="shared" ref="D46:AM46" si="1">SUM(D7:D45)</f>
        <v>34886</v>
      </c>
      <c r="E46" s="7">
        <f t="shared" si="1"/>
        <v>247399</v>
      </c>
      <c r="F46" s="7">
        <f t="shared" si="1"/>
        <v>282285</v>
      </c>
      <c r="G46" s="7">
        <f t="shared" si="1"/>
        <v>427</v>
      </c>
      <c r="H46" s="7">
        <f t="shared" si="1"/>
        <v>167807</v>
      </c>
      <c r="I46" s="7">
        <f t="shared" si="1"/>
        <v>168234</v>
      </c>
      <c r="J46" s="7">
        <f t="shared" si="1"/>
        <v>56</v>
      </c>
      <c r="K46" s="7">
        <f t="shared" si="1"/>
        <v>5964</v>
      </c>
      <c r="L46" s="7">
        <f t="shared" si="1"/>
        <v>6020</v>
      </c>
      <c r="M46" s="7">
        <f t="shared" si="1"/>
        <v>105</v>
      </c>
      <c r="N46" s="7">
        <f t="shared" si="1"/>
        <v>45824</v>
      </c>
      <c r="O46" s="7">
        <f t="shared" si="1"/>
        <v>45929</v>
      </c>
      <c r="P46" s="7">
        <f t="shared" si="1"/>
        <v>0</v>
      </c>
      <c r="Q46" s="7">
        <f t="shared" si="1"/>
        <v>913</v>
      </c>
      <c r="R46" s="7">
        <f t="shared" si="1"/>
        <v>913</v>
      </c>
      <c r="S46" s="7">
        <f t="shared" si="1"/>
        <v>93</v>
      </c>
      <c r="T46" s="7">
        <f t="shared" si="1"/>
        <v>59960</v>
      </c>
      <c r="U46" s="7">
        <f t="shared" si="1"/>
        <v>60053</v>
      </c>
      <c r="V46" s="7">
        <f t="shared" si="1"/>
        <v>7708</v>
      </c>
      <c r="W46" s="7">
        <f t="shared" si="1"/>
        <v>0</v>
      </c>
      <c r="X46" s="7">
        <f t="shared" si="1"/>
        <v>7708</v>
      </c>
      <c r="Y46" s="7">
        <f t="shared" si="1"/>
        <v>1284316</v>
      </c>
      <c r="Z46" s="7">
        <f t="shared" si="1"/>
        <v>238207</v>
      </c>
      <c r="AA46" s="7">
        <f t="shared" si="1"/>
        <v>1522523</v>
      </c>
      <c r="AB46" s="7">
        <f t="shared" si="1"/>
        <v>500253</v>
      </c>
      <c r="AC46" s="7">
        <f t="shared" si="1"/>
        <v>185602</v>
      </c>
      <c r="AD46" s="7">
        <f t="shared" si="1"/>
        <v>685855</v>
      </c>
      <c r="AE46" s="7">
        <f t="shared" si="1"/>
        <v>253453</v>
      </c>
      <c r="AF46" s="7">
        <f t="shared" si="1"/>
        <v>95634</v>
      </c>
      <c r="AG46" s="7">
        <f t="shared" si="1"/>
        <v>349087</v>
      </c>
      <c r="AH46" s="7">
        <v>171703</v>
      </c>
      <c r="AI46" s="7">
        <v>158346</v>
      </c>
      <c r="AJ46" s="7">
        <v>330049</v>
      </c>
      <c r="AK46" s="7">
        <f t="shared" si="1"/>
        <v>14527</v>
      </c>
      <c r="AL46" s="7">
        <f t="shared" si="1"/>
        <v>13954</v>
      </c>
      <c r="AM46" s="7">
        <f t="shared" si="1"/>
        <v>28481</v>
      </c>
      <c r="AO46" s="52"/>
      <c r="AP46" s="52"/>
      <c r="AQ46" s="16" t="s">
        <v>59</v>
      </c>
      <c r="AR46" s="7">
        <f t="shared" ref="AR46:BR46" si="2">SUM(AR7:AR45)</f>
        <v>4790</v>
      </c>
      <c r="AS46" s="7">
        <f t="shared" si="2"/>
        <v>20527</v>
      </c>
      <c r="AT46" s="7">
        <f t="shared" si="2"/>
        <v>25317</v>
      </c>
      <c r="AU46" s="7">
        <f t="shared" si="2"/>
        <v>49</v>
      </c>
      <c r="AV46" s="7">
        <f t="shared" si="2"/>
        <v>14885</v>
      </c>
      <c r="AW46" s="7">
        <f t="shared" si="2"/>
        <v>14934</v>
      </c>
      <c r="AX46" s="7">
        <f t="shared" si="2"/>
        <v>22</v>
      </c>
      <c r="AY46" s="7">
        <f t="shared" si="2"/>
        <v>463</v>
      </c>
      <c r="AZ46" s="7">
        <f t="shared" si="2"/>
        <v>485</v>
      </c>
      <c r="BA46" s="7">
        <f t="shared" si="2"/>
        <v>45</v>
      </c>
      <c r="BB46" s="7">
        <f t="shared" si="2"/>
        <v>5057</v>
      </c>
      <c r="BC46" s="7">
        <f t="shared" si="2"/>
        <v>5102</v>
      </c>
      <c r="BD46" s="7">
        <f t="shared" si="2"/>
        <v>128355</v>
      </c>
      <c r="BE46" s="7">
        <f t="shared" si="2"/>
        <v>22958</v>
      </c>
      <c r="BF46" s="7">
        <f t="shared" si="2"/>
        <v>151313</v>
      </c>
      <c r="BG46" s="7">
        <f t="shared" si="2"/>
        <v>85543</v>
      </c>
      <c r="BH46" s="7">
        <f t="shared" si="2"/>
        <v>28072</v>
      </c>
      <c r="BI46" s="7">
        <f t="shared" si="2"/>
        <v>113615</v>
      </c>
      <c r="BJ46" s="7">
        <f t="shared" si="2"/>
        <v>49486</v>
      </c>
      <c r="BK46" s="7">
        <f t="shared" si="2"/>
        <v>15863</v>
      </c>
      <c r="BL46" s="7">
        <f t="shared" si="2"/>
        <v>65349</v>
      </c>
      <c r="BM46" s="7">
        <f t="shared" si="2"/>
        <v>34084</v>
      </c>
      <c r="BN46" s="7">
        <f t="shared" si="2"/>
        <v>30083</v>
      </c>
      <c r="BO46" s="7">
        <f t="shared" si="2"/>
        <v>64167</v>
      </c>
      <c r="BP46" s="7">
        <f t="shared" si="2"/>
        <v>2951</v>
      </c>
      <c r="BQ46" s="7">
        <f t="shared" si="2"/>
        <v>2091</v>
      </c>
      <c r="BR46" s="7">
        <f t="shared" si="2"/>
        <v>5042</v>
      </c>
    </row>
    <row r="47" spans="1:70" ht="14.25" customHeight="1"/>
    <row r="48" spans="1:70" ht="14.25" customHeight="1">
      <c r="A48" s="21" t="s">
        <v>83</v>
      </c>
    </row>
    <row r="49" spans="1:1" ht="14.25" customHeight="1">
      <c r="A49" t="s">
        <v>84</v>
      </c>
    </row>
    <row r="50" spans="1:1" ht="14.25" customHeight="1"/>
    <row r="51" spans="1:1" ht="14.25" customHeight="1"/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</sheetData>
  <mergeCells count="34">
    <mergeCell ref="AO46:AP46"/>
    <mergeCell ref="AQ3:AQ6"/>
    <mergeCell ref="AR3:BR3"/>
    <mergeCell ref="BD4:BF5"/>
    <mergeCell ref="BG4:BI5"/>
    <mergeCell ref="BP4:BR5"/>
    <mergeCell ref="BJ4:BL5"/>
    <mergeCell ref="BM4:BO5"/>
    <mergeCell ref="AR4:BC4"/>
    <mergeCell ref="AR5:AT5"/>
    <mergeCell ref="AU5:AW5"/>
    <mergeCell ref="AX5:AZ5"/>
    <mergeCell ref="BA5:BC5"/>
    <mergeCell ref="AO3:AO6"/>
    <mergeCell ref="AP3:AP6"/>
    <mergeCell ref="AK4:AM5"/>
    <mergeCell ref="Y4:AA5"/>
    <mergeCell ref="AB4:AD5"/>
    <mergeCell ref="AE4:AG5"/>
    <mergeCell ref="AH4:AJ5"/>
    <mergeCell ref="A46:B46"/>
    <mergeCell ref="P4:X4"/>
    <mergeCell ref="S5:U5"/>
    <mergeCell ref="V5:X5"/>
    <mergeCell ref="M5:O5"/>
    <mergeCell ref="P5:R5"/>
    <mergeCell ref="A3:A6"/>
    <mergeCell ref="B3:B6"/>
    <mergeCell ref="D3:AM3"/>
    <mergeCell ref="C3:C6"/>
    <mergeCell ref="D5:F5"/>
    <mergeCell ref="G5:I5"/>
    <mergeCell ref="J5:L5"/>
    <mergeCell ref="D4:O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tabSelected="1" workbookViewId="0">
      <selection activeCell="B5" sqref="B5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57" t="s">
        <v>60</v>
      </c>
      <c r="B2" s="58" t="s">
        <v>79</v>
      </c>
    </row>
    <row r="3" spans="1:2" ht="14.25" customHeight="1">
      <c r="A3" s="36"/>
      <c r="B3" s="36"/>
    </row>
    <row r="4" spans="1:2" ht="14.25" customHeight="1">
      <c r="A4" s="37"/>
      <c r="B4" s="37"/>
    </row>
    <row r="5" spans="1:2" ht="30">
      <c r="A5" s="8" t="s">
        <v>61</v>
      </c>
      <c r="B5" s="19" t="s">
        <v>85</v>
      </c>
    </row>
    <row r="6" spans="1:2" ht="30">
      <c r="A6" s="8" t="s">
        <v>62</v>
      </c>
      <c r="B6" s="22" t="s">
        <v>63</v>
      </c>
    </row>
    <row r="7" spans="1:2" ht="14.25" customHeight="1">
      <c r="A7" s="8" t="s">
        <v>64</v>
      </c>
      <c r="B7" s="10" t="s">
        <v>65</v>
      </c>
    </row>
    <row r="8" spans="1:2" ht="30">
      <c r="A8" s="8" t="s">
        <v>66</v>
      </c>
      <c r="B8" s="23" t="s">
        <v>67</v>
      </c>
    </row>
    <row r="9" spans="1:2" ht="14.25" customHeight="1">
      <c r="A9" s="8" t="s">
        <v>68</v>
      </c>
      <c r="B9" s="11" t="s">
        <v>69</v>
      </c>
    </row>
    <row r="10" spans="1:2" ht="14.25" customHeight="1">
      <c r="A10" s="8" t="s">
        <v>70</v>
      </c>
      <c r="B10" s="9" t="s">
        <v>19</v>
      </c>
    </row>
    <row r="11" spans="1:2" ht="14.25" customHeight="1">
      <c r="A11" s="8" t="s">
        <v>71</v>
      </c>
      <c r="B11" s="11" t="s">
        <v>72</v>
      </c>
    </row>
    <row r="12" spans="1:2" ht="30">
      <c r="A12" s="8" t="s">
        <v>73</v>
      </c>
      <c r="B12" s="12" t="s">
        <v>80</v>
      </c>
    </row>
    <row r="13" spans="1:2" ht="14.25" customHeight="1">
      <c r="A13" s="59" t="s">
        <v>74</v>
      </c>
      <c r="B13" s="9" t="s">
        <v>75</v>
      </c>
    </row>
    <row r="14" spans="1:2" ht="14.25" customHeight="1">
      <c r="A14" s="60"/>
      <c r="B14" s="19" t="s">
        <v>3</v>
      </c>
    </row>
    <row r="15" spans="1:2" ht="14.25" customHeight="1">
      <c r="A15" s="61"/>
      <c r="B15" s="19" t="s">
        <v>81</v>
      </c>
    </row>
    <row r="16" spans="1:2" ht="14.25" customHeight="1">
      <c r="A16" s="59" t="s">
        <v>76</v>
      </c>
      <c r="B16" s="9" t="s">
        <v>2</v>
      </c>
    </row>
    <row r="17" spans="1:2" ht="14.25" customHeight="1">
      <c r="A17" s="36"/>
      <c r="B17" s="9" t="s">
        <v>77</v>
      </c>
    </row>
    <row r="18" spans="1:2" ht="14.25" customHeight="1">
      <c r="A18" s="37"/>
      <c r="B18" s="9" t="s">
        <v>78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2:A4"/>
    <mergeCell ref="B2:B4"/>
    <mergeCell ref="A16:A18"/>
    <mergeCell ref="A13:A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2026-03-05T08:05:42Z</dcterms:modified>
</cp:coreProperties>
</file>