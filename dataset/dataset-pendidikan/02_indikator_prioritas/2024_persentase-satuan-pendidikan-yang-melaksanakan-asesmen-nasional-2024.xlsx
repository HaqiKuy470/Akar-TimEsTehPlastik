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3CFC76C0-396C-4215-A2A2-FE8F6D24E26D}" xr6:coauthVersionLast="47" xr6:coauthVersionMax="47" xr10:uidLastSave="{00000000-0000-0000-0000-000000000000}"/>
  <bookViews>
    <workbookView xWindow="-120" yWindow="-120" windowWidth="29040" windowHeight="15720" xr2:uid="{00000000-000D-0000-FFFF-FFFF00000000}"/>
  </bookViews>
  <sheets>
    <sheet name="Data" sheetId="6" r:id="rId1"/>
    <sheet name="Metadata" sheetId="7"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8" i="6" l="1"/>
  <c r="K18" i="6"/>
  <c r="J18" i="6"/>
  <c r="G18" i="6"/>
  <c r="D18" i="6"/>
  <c r="M17" i="6"/>
  <c r="J17" i="6"/>
  <c r="G17" i="6"/>
  <c r="D17" i="6"/>
  <c r="M16" i="6"/>
  <c r="J16" i="6"/>
  <c r="G16" i="6"/>
  <c r="D16" i="6"/>
  <c r="M15" i="6"/>
  <c r="J15" i="6"/>
  <c r="G15" i="6"/>
  <c r="D15" i="6"/>
  <c r="M14" i="6"/>
  <c r="J14" i="6"/>
  <c r="G14" i="6"/>
  <c r="D14" i="6"/>
  <c r="M13" i="6"/>
  <c r="J13" i="6"/>
  <c r="G13" i="6"/>
  <c r="D13" i="6"/>
  <c r="M12" i="6"/>
  <c r="J12" i="6"/>
  <c r="G12" i="6"/>
  <c r="D12" i="6"/>
  <c r="M11" i="6"/>
  <c r="J11" i="6"/>
  <c r="G11" i="6"/>
  <c r="D11" i="6"/>
  <c r="M10" i="6"/>
  <c r="J10" i="6"/>
  <c r="G10" i="6"/>
  <c r="D10" i="6"/>
  <c r="M9" i="6"/>
  <c r="J9" i="6"/>
  <c r="G9" i="6"/>
  <c r="D9" i="6"/>
  <c r="M8" i="6"/>
  <c r="J8" i="6"/>
  <c r="G8" i="6"/>
  <c r="D8" i="6"/>
  <c r="M7" i="6"/>
  <c r="J7" i="6"/>
  <c r="G7" i="6"/>
  <c r="D7" i="6"/>
  <c r="M6" i="6"/>
  <c r="J6" i="6"/>
  <c r="G6" i="6"/>
  <c r="D6" i="6"/>
  <c r="M5" i="6"/>
  <c r="J5" i="6"/>
  <c r="G5" i="6"/>
  <c r="D5" i="6"/>
  <c r="M18" i="6" l="1"/>
</calcChain>
</file>

<file path=xl/sharedStrings.xml><?xml version="1.0" encoding="utf-8"?>
<sst xmlns="http://schemas.openxmlformats.org/spreadsheetml/2006/main" count="56" uniqueCount="46">
  <si>
    <t>Paket A</t>
  </si>
  <si>
    <t>Paket B</t>
  </si>
  <si>
    <t>Paket C</t>
  </si>
  <si>
    <t>SMK</t>
  </si>
  <si>
    <t>AN 2021</t>
  </si>
  <si>
    <t>AN 2022</t>
  </si>
  <si>
    <t>AN 2023</t>
  </si>
  <si>
    <t xml:space="preserve">Mengikuti </t>
  </si>
  <si>
    <t>%</t>
  </si>
  <si>
    <t>Mengikuti</t>
  </si>
  <si>
    <t>SMA</t>
  </si>
  <si>
    <t>MA</t>
  </si>
  <si>
    <t>SMA-LB</t>
  </si>
  <si>
    <t>SMP</t>
  </si>
  <si>
    <t>MTs</t>
  </si>
  <si>
    <t>SMP-LB</t>
  </si>
  <si>
    <t>SD</t>
  </si>
  <si>
    <t>MI</t>
  </si>
  <si>
    <t>SD-LB</t>
  </si>
  <si>
    <t>TOTAL</t>
  </si>
  <si>
    <t>AN 2024</t>
  </si>
  <si>
    <t>Indikator Kegiatan</t>
  </si>
  <si>
    <t>Nama</t>
  </si>
  <si>
    <t>Deskripsi</t>
  </si>
  <si>
    <t>Mekanisme Perhitungan</t>
  </si>
  <si>
    <t>Manfaat</t>
  </si>
  <si>
    <t>Interpretasi</t>
  </si>
  <si>
    <t>Frekuensi Update Data</t>
  </si>
  <si>
    <t>Ukuran</t>
  </si>
  <si>
    <t>Persentase</t>
  </si>
  <si>
    <t>Satuan</t>
  </si>
  <si>
    <t>Persen</t>
  </si>
  <si>
    <t>Organisasi Penanggung Jawab</t>
  </si>
  <si>
    <t>Kementerian Pendidikan, Kebudayaan, Riset, dan Teknologi (KEMENDIKBUDRISTEK)</t>
  </si>
  <si>
    <t>Konsep</t>
  </si>
  <si>
    <t>Klasifikasi Penyajian</t>
  </si>
  <si>
    <t>Persentase Satuan Pendidikan yang Melaksanakan Asesmen Nasional (AN)</t>
  </si>
  <si>
    <t>Perbandingan jumlah satuan pendidikan yang melaksanakan Asesmen Nasional  (AN) untuk peserta didik, kepala satuan pendidikan, dan pendidik dengan total satuan pendidikan dan dinyatakan dalam persentase.
Asesmen Nasional (AN) adalah program evaluasi yang diselenggarakan oleh Kemdikbudristek untuk meningkatkan mutu pendidikan dengan memotret input, proses dan output pembelajaran di seluruh satuan pendidikan. Peserta asesmen nasional adalah siswa, guru, dan kepala sekolah. Hasil asesmen nasional dapat memberikan gambaran yang akurat tentang pencapaian atau karakteristik pendidikan secara menyeluruh pada satuan pendidikan. Dengan demikian, pelaksanaan asesmen nasional ditargetkan mampu mencapai seluruh sasaran satuan pendidikan dalam memotret mutu Pendidikan.</t>
  </si>
  <si>
    <t>Jumlah satuan pendidikan yang mengikuti Asesmen Nasional (AN) dibagi total satuan pendidikan dikali 100</t>
  </si>
  <si>
    <t>Semakin tinggi persentasenya, semakin besar tingkat partisipasi satuan pendidikan dalam mengikuti Asesmen Nasional (AN)</t>
  </si>
  <si>
    <t>Tahunan</t>
  </si>
  <si>
    <t>1. Asesmen Nasional (AN)</t>
  </si>
  <si>
    <t>2. Satuan Pendidikan</t>
  </si>
  <si>
    <t>Bentuk Satuan Pendidikan</t>
  </si>
  <si>
    <t>Sebagai dasar perencanaan mutu pendidikan</t>
  </si>
  <si>
    <t>Jumlah Satuan Pendidikan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</si>
</sst>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_-* #,##0.00_-;\-* #,##0.00_-;_-* &quot;-&quot;_-;_-@_-"/>
  </numFmts>
  <fonts count="8" x14ac:knownFonts="1">
    <font>
      <sz val="11"/>
      <color rgb="FF000000"/>
      <name val="Calibri"/>
    </font>
    <font>
      <b/>
      <sz val="11"/>
      <color rgb="FF000000"/>
      <name val="Calibri"/>
      <family val="2"/>
    </font>
    <font>
      <sz val="11"/>
      <color rgb="FF000000"/>
      <name val="Calibri"/>
      <family val="2"/>
    </font>
    <font>
      <sz val="11"/>
      <color rgb="FF000000"/>
      <name val="Calibri"/>
      <family val="2"/>
    </font>
    <font>
      <b/>
      <sz val="10"/>
      <color theme="1"/>
      <name val="Arial"/>
      <family val="2"/>
    </font>
    <font>
      <sz val="10"/>
      <name val="Aptos Narrow"/>
      <family val="2"/>
    </font>
    <font>
      <b/>
      <sz val="10"/>
      <color rgb="FFFFFFFF"/>
      <name val="Arial"/>
      <family val="2"/>
    </font>
    <font>
      <sz val="10"/>
      <color theme="1"/>
      <name val="Arial"/>
      <family val="2"/>
    </font>
  </fonts>
  <fills count="4">
    <fill>
      <patternFill patternType="none"/>
    </fill>
    <fill>
      <patternFill patternType="gray125"/>
    </fill>
    <fill>
      <patternFill patternType="none"/>
    </fill>
    <fill>
      <patternFill patternType="solid">
        <fgColor rgb="FF3C78D8"/>
        <bgColor rgb="FF3C78D8"/>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s>
  <cellStyleXfs count="3">
    <xf numFmtId="0" fontId="0" fillId="0" borderId="0"/>
    <xf numFmtId="0" fontId="2" fillId="2" borderId="0"/>
    <xf numFmtId="41" fontId="3" fillId="0" borderId="0" applyFont="0" applyFill="0" applyBorder="0" applyAlignment="0" applyProtection="0"/>
  </cellStyleXfs>
  <cellXfs count="27">
    <xf numFmtId="0" fontId="0" fillId="0" borderId="0" xfId="0"/>
    <xf numFmtId="0" fontId="0" fillId="0" borderId="0" xfId="0" applyAlignment="1">
      <alignment horizontal="center"/>
    </xf>
    <xf numFmtId="0" fontId="0" fillId="0" borderId="1" xfId="0" applyBorder="1" applyAlignment="1">
      <alignment vertical="center"/>
    </xf>
    <xf numFmtId="3" fontId="0" fillId="0" borderId="1" xfId="0" applyNumberFormat="1" applyBorder="1" applyAlignment="1">
      <alignment vertical="center"/>
    </xf>
    <xf numFmtId="164" fontId="0" fillId="0" borderId="1" xfId="2" applyNumberFormat="1" applyFont="1" applyBorder="1" applyAlignment="1">
      <alignment vertical="center"/>
    </xf>
    <xf numFmtId="41" fontId="0" fillId="0" borderId="1" xfId="2"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3" fontId="1" fillId="0" borderId="1" xfId="0" applyNumberFormat="1" applyFont="1" applyBorder="1" applyAlignment="1">
      <alignment vertical="center"/>
    </xf>
    <xf numFmtId="164" fontId="1" fillId="0" borderId="1" xfId="2" applyNumberFormat="1" applyFont="1" applyBorder="1" applyAlignment="1">
      <alignment vertical="center"/>
    </xf>
    <xf numFmtId="41" fontId="1" fillId="0" borderId="1" xfId="2" applyFont="1" applyBorder="1" applyAlignment="1">
      <alignment vertical="center"/>
    </xf>
    <xf numFmtId="41" fontId="1" fillId="0" borderId="1" xfId="0" applyNumberFormat="1" applyFont="1" applyBorder="1" applyAlignment="1">
      <alignment vertical="center"/>
    </xf>
    <xf numFmtId="3" fontId="0" fillId="0" borderId="0" xfId="0" applyNumberFormat="1"/>
    <xf numFmtId="0" fontId="1" fillId="0" borderId="0" xfId="0" applyFont="1"/>
    <xf numFmtId="0" fontId="6" fillId="3" borderId="4" xfId="0" applyFont="1" applyFill="1" applyBorder="1" applyAlignment="1">
      <alignment horizontal="center" vertical="center"/>
    </xf>
    <xf numFmtId="0" fontId="7" fillId="0" borderId="4" xfId="0" applyFont="1" applyBorder="1" applyAlignment="1">
      <alignment vertical="top"/>
    </xf>
    <xf numFmtId="0" fontId="7" fillId="0" borderId="4" xfId="0" applyFont="1" applyBorder="1" applyAlignment="1">
      <alignment horizontal="left" vertical="top" wrapText="1"/>
    </xf>
    <xf numFmtId="0" fontId="7" fillId="0" borderId="4" xfId="0" applyFont="1" applyBorder="1" applyAlignment="1">
      <alignment horizontal="left" vertical="top"/>
    </xf>
    <xf numFmtId="0" fontId="7" fillId="0" borderId="7" xfId="0" applyFont="1" applyBorder="1" applyAlignment="1">
      <alignment vertical="top"/>
    </xf>
    <xf numFmtId="0" fontId="1" fillId="0" borderId="1" xfId="0" applyFont="1" applyBorder="1" applyAlignment="1">
      <alignment horizontal="center" vertical="center" wrapText="1"/>
    </xf>
    <xf numFmtId="0" fontId="6" fillId="3" borderId="4" xfId="0" applyFont="1" applyFill="1" applyBorder="1" applyAlignment="1">
      <alignment horizont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4" fillId="0" borderId="2" xfId="0" applyFont="1" applyBorder="1" applyAlignment="1">
      <alignment horizontal="center" vertical="center"/>
    </xf>
    <xf numFmtId="0" fontId="5" fillId="0" borderId="3" xfId="0" applyFont="1" applyBorder="1"/>
    <xf numFmtId="0" fontId="7" fillId="0" borderId="5" xfId="0" applyFont="1" applyBorder="1" applyAlignment="1">
      <alignment vertical="top"/>
    </xf>
    <xf numFmtId="0" fontId="5" fillId="0" borderId="6" xfId="0" applyFont="1" applyBorder="1" applyAlignment="1">
      <alignment vertical="top"/>
    </xf>
  </cellXfs>
  <cellStyles count="3">
    <cellStyle name="Comma [0]" xfId="2" builtinId="6"/>
    <cellStyle name="Normal" xfId="0" builtinId="0"/>
    <cellStyle name="Normal 2" xfId="1" xr:uid="{5120CC39-1892-4E10-940E-127EAD5CB01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7506A-D701-4F4A-B4AF-1D865748EBB0}">
  <dimension ref="A1:Q19"/>
  <sheetViews>
    <sheetView tabSelected="1" workbookViewId="0">
      <selection activeCell="F20" sqref="F20"/>
    </sheetView>
  </sheetViews>
  <sheetFormatPr defaultRowHeight="15" x14ac:dyDescent="0.25"/>
  <cols>
    <col min="1" max="1" width="15.85546875" customWidth="1"/>
    <col min="2" max="2" width="15.42578125" customWidth="1"/>
    <col min="3" max="3" width="10.42578125" bestFit="1" customWidth="1"/>
    <col min="4" max="4" width="7.85546875" bestFit="1" customWidth="1"/>
    <col min="5" max="5" width="16.140625" customWidth="1"/>
    <col min="6" max="6" width="10.42578125" bestFit="1" customWidth="1"/>
    <col min="7" max="7" width="7.85546875" bestFit="1" customWidth="1"/>
    <col min="8" max="8" width="15.42578125" customWidth="1"/>
    <col min="9" max="9" width="10.42578125" bestFit="1" customWidth="1"/>
    <col min="10" max="10" width="7.85546875" bestFit="1" customWidth="1"/>
    <col min="11" max="11" width="15.85546875" customWidth="1"/>
    <col min="12" max="12" width="10.42578125" bestFit="1" customWidth="1"/>
    <col min="13" max="13" width="6.85546875" bestFit="1" customWidth="1"/>
  </cols>
  <sheetData>
    <row r="1" spans="1:17" x14ac:dyDescent="0.25">
      <c r="A1" s="13" t="s">
        <v>36</v>
      </c>
    </row>
    <row r="3" spans="1:17" s="1" customFormat="1" x14ac:dyDescent="0.25">
      <c r="A3" s="22" t="s">
        <v>43</v>
      </c>
      <c r="B3" s="21" t="s">
        <v>4</v>
      </c>
      <c r="C3" s="21"/>
      <c r="D3" s="21"/>
      <c r="E3" s="21" t="s">
        <v>5</v>
      </c>
      <c r="F3" s="21"/>
      <c r="G3" s="21"/>
      <c r="H3" s="21" t="s">
        <v>6</v>
      </c>
      <c r="I3" s="21"/>
      <c r="J3" s="21"/>
      <c r="K3" s="21" t="s">
        <v>20</v>
      </c>
      <c r="L3" s="21"/>
      <c r="M3" s="21"/>
    </row>
    <row r="4" spans="1:17" s="1" customFormat="1" ht="30" x14ac:dyDescent="0.25">
      <c r="A4" s="22"/>
      <c r="B4" s="19" t="s">
        <v>45</v>
      </c>
      <c r="C4" s="6" t="s">
        <v>7</v>
      </c>
      <c r="D4" s="6" t="s">
        <v>8</v>
      </c>
      <c r="E4" s="19" t="s">
        <v>45</v>
      </c>
      <c r="F4" s="6" t="s">
        <v>9</v>
      </c>
      <c r="G4" s="6" t="s">
        <v>8</v>
      </c>
      <c r="H4" s="19" t="s">
        <v>45</v>
      </c>
      <c r="I4" s="6" t="s">
        <v>9</v>
      </c>
      <c r="J4" s="6" t="s">
        <v>8</v>
      </c>
      <c r="K4" s="19" t="s">
        <v>45</v>
      </c>
      <c r="L4" s="6" t="s">
        <v>9</v>
      </c>
      <c r="M4" s="6" t="s">
        <v>8</v>
      </c>
    </row>
    <row r="5" spans="1:17" x14ac:dyDescent="0.25">
      <c r="A5" s="2" t="s">
        <v>3</v>
      </c>
      <c r="B5" s="3">
        <v>13916</v>
      </c>
      <c r="C5" s="3">
        <v>13519</v>
      </c>
      <c r="D5" s="4">
        <f>C5/B5*100</f>
        <v>97.147168726645589</v>
      </c>
      <c r="E5" s="3">
        <v>13939</v>
      </c>
      <c r="F5" s="3">
        <v>13804</v>
      </c>
      <c r="G5" s="4">
        <f>F5/E5*100</f>
        <v>99.031494368319102</v>
      </c>
      <c r="H5" s="5">
        <v>13904</v>
      </c>
      <c r="I5" s="5">
        <v>13822</v>
      </c>
      <c r="J5" s="4">
        <f>I5/H5*100</f>
        <v>99.410241657077108</v>
      </c>
      <c r="K5" s="5">
        <v>13892</v>
      </c>
      <c r="L5" s="5">
        <v>13831</v>
      </c>
      <c r="M5" s="4">
        <f>L5/K5*100</f>
        <v>99.560898358767631</v>
      </c>
      <c r="P5" s="12"/>
      <c r="Q5" s="12"/>
    </row>
    <row r="6" spans="1:17" x14ac:dyDescent="0.25">
      <c r="A6" s="2" t="s">
        <v>10</v>
      </c>
      <c r="B6" s="3">
        <v>14046</v>
      </c>
      <c r="C6" s="3">
        <v>13793</v>
      </c>
      <c r="D6" s="4">
        <f t="shared" ref="D6:D18" si="0">C6/B6*100</f>
        <v>98.198775452086011</v>
      </c>
      <c r="E6" s="3">
        <v>14180</v>
      </c>
      <c r="F6" s="3">
        <v>14071</v>
      </c>
      <c r="G6" s="4">
        <f t="shared" ref="G6:G18" si="1">F6/E6*100</f>
        <v>99.231311706629057</v>
      </c>
      <c r="H6" s="5">
        <v>14344</v>
      </c>
      <c r="I6" s="5">
        <v>14296</v>
      </c>
      <c r="J6" s="4">
        <f t="shared" ref="J6:J18" si="2">I6/H6*100</f>
        <v>99.665365309537094</v>
      </c>
      <c r="K6" s="5">
        <v>14537</v>
      </c>
      <c r="L6" s="5">
        <v>14496</v>
      </c>
      <c r="M6" s="4">
        <f t="shared" ref="M6:M18" si="3">L6/K6*100</f>
        <v>99.717961064868959</v>
      </c>
      <c r="P6" s="12"/>
      <c r="Q6" s="12"/>
    </row>
    <row r="7" spans="1:17" x14ac:dyDescent="0.25">
      <c r="A7" s="2" t="s">
        <v>11</v>
      </c>
      <c r="B7" s="3">
        <v>8702</v>
      </c>
      <c r="C7" s="3">
        <v>8261</v>
      </c>
      <c r="D7" s="4">
        <f t="shared" si="0"/>
        <v>94.932199494369101</v>
      </c>
      <c r="E7" s="3">
        <v>9155</v>
      </c>
      <c r="F7" s="3">
        <v>8757</v>
      </c>
      <c r="G7" s="4">
        <f t="shared" si="1"/>
        <v>95.652648825778257</v>
      </c>
      <c r="H7" s="5">
        <v>9354</v>
      </c>
      <c r="I7" s="5">
        <v>8991</v>
      </c>
      <c r="J7" s="4">
        <f t="shared" si="2"/>
        <v>96.119307248236055</v>
      </c>
      <c r="K7" s="5">
        <v>9564</v>
      </c>
      <c r="L7" s="5">
        <v>9187</v>
      </c>
      <c r="M7" s="4">
        <f t="shared" si="3"/>
        <v>96.058134671685494</v>
      </c>
      <c r="P7" s="12"/>
      <c r="Q7" s="12"/>
    </row>
    <row r="8" spans="1:17" x14ac:dyDescent="0.25">
      <c r="A8" s="2" t="s">
        <v>2</v>
      </c>
      <c r="B8" s="3">
        <v>6463</v>
      </c>
      <c r="C8" s="3">
        <v>5072</v>
      </c>
      <c r="D8" s="4">
        <f t="shared" si="0"/>
        <v>78.477487235030168</v>
      </c>
      <c r="E8" s="3">
        <v>7081</v>
      </c>
      <c r="F8" s="3">
        <v>6063</v>
      </c>
      <c r="G8" s="4">
        <f t="shared" si="1"/>
        <v>85.623499505719536</v>
      </c>
      <c r="H8" s="5">
        <v>7836</v>
      </c>
      <c r="I8" s="5">
        <v>7170</v>
      </c>
      <c r="J8" s="4">
        <f t="shared" si="2"/>
        <v>91.500765696784072</v>
      </c>
      <c r="K8" s="5">
        <v>8480</v>
      </c>
      <c r="L8" s="5">
        <v>7904</v>
      </c>
      <c r="M8" s="4">
        <f t="shared" si="3"/>
        <v>93.20754716981132</v>
      </c>
      <c r="P8" s="12"/>
      <c r="Q8" s="12"/>
    </row>
    <row r="9" spans="1:17" x14ac:dyDescent="0.25">
      <c r="A9" s="2" t="s">
        <v>12</v>
      </c>
      <c r="B9" s="2">
        <v>870</v>
      </c>
      <c r="C9" s="2">
        <v>662</v>
      </c>
      <c r="D9" s="4">
        <f t="shared" si="0"/>
        <v>76.091954022988503</v>
      </c>
      <c r="E9" s="2">
        <v>856</v>
      </c>
      <c r="F9" s="2">
        <v>747</v>
      </c>
      <c r="G9" s="4">
        <f t="shared" si="1"/>
        <v>87.266355140186917</v>
      </c>
      <c r="H9" s="5">
        <v>912</v>
      </c>
      <c r="I9" s="5">
        <v>855</v>
      </c>
      <c r="J9" s="4">
        <f t="shared" si="2"/>
        <v>93.75</v>
      </c>
      <c r="K9" s="5">
        <v>905</v>
      </c>
      <c r="L9" s="5">
        <v>865</v>
      </c>
      <c r="M9" s="4">
        <f t="shared" si="3"/>
        <v>95.58011049723757</v>
      </c>
    </row>
    <row r="10" spans="1:17" x14ac:dyDescent="0.25">
      <c r="A10" s="2" t="s">
        <v>13</v>
      </c>
      <c r="B10" s="3">
        <v>41000</v>
      </c>
      <c r="C10" s="3">
        <v>39966</v>
      </c>
      <c r="D10" s="4">
        <f t="shared" si="0"/>
        <v>97.478048780487796</v>
      </c>
      <c r="E10" s="3">
        <v>41263</v>
      </c>
      <c r="F10" s="3">
        <v>41028</v>
      </c>
      <c r="G10" s="4">
        <f t="shared" si="1"/>
        <v>99.430482514601465</v>
      </c>
      <c r="H10" s="5">
        <v>41851</v>
      </c>
      <c r="I10" s="5">
        <v>41745</v>
      </c>
      <c r="J10" s="4">
        <f t="shared" si="2"/>
        <v>99.746720508470517</v>
      </c>
      <c r="K10" s="5">
        <v>42393</v>
      </c>
      <c r="L10" s="5">
        <v>42288</v>
      </c>
      <c r="M10" s="4">
        <f t="shared" si="3"/>
        <v>99.752317599603714</v>
      </c>
      <c r="P10" s="12"/>
      <c r="Q10" s="12"/>
    </row>
    <row r="11" spans="1:17" x14ac:dyDescent="0.25">
      <c r="A11" s="2" t="s">
        <v>14</v>
      </c>
      <c r="B11" s="3">
        <v>17692</v>
      </c>
      <c r="C11" s="3">
        <v>16652</v>
      </c>
      <c r="D11" s="4">
        <f t="shared" si="0"/>
        <v>94.121636898033017</v>
      </c>
      <c r="E11" s="3">
        <v>18153</v>
      </c>
      <c r="F11" s="3">
        <v>17357</v>
      </c>
      <c r="G11" s="4">
        <f t="shared" si="1"/>
        <v>95.615049854018622</v>
      </c>
      <c r="H11" s="5">
        <v>18365</v>
      </c>
      <c r="I11" s="5">
        <v>17608</v>
      </c>
      <c r="J11" s="4">
        <f t="shared" si="2"/>
        <v>95.87802885924313</v>
      </c>
      <c r="K11" s="5">
        <v>18573</v>
      </c>
      <c r="L11" s="5">
        <v>17841</v>
      </c>
      <c r="M11" s="4">
        <f t="shared" si="3"/>
        <v>96.058795025036346</v>
      </c>
      <c r="P11" s="12"/>
      <c r="Q11" s="12"/>
    </row>
    <row r="12" spans="1:17" x14ac:dyDescent="0.25">
      <c r="A12" s="2" t="s">
        <v>1</v>
      </c>
      <c r="B12" s="3">
        <v>5954</v>
      </c>
      <c r="C12" s="3">
        <v>4499</v>
      </c>
      <c r="D12" s="4">
        <f t="shared" si="0"/>
        <v>75.562646960026868</v>
      </c>
      <c r="E12" s="3">
        <v>6953</v>
      </c>
      <c r="F12" s="3">
        <v>5784</v>
      </c>
      <c r="G12" s="4">
        <f t="shared" si="1"/>
        <v>83.187113476197325</v>
      </c>
      <c r="H12" s="5">
        <v>7204</v>
      </c>
      <c r="I12" s="5">
        <v>6566</v>
      </c>
      <c r="J12" s="4">
        <f t="shared" si="2"/>
        <v>91.143808995002772</v>
      </c>
      <c r="K12" s="5">
        <v>7800</v>
      </c>
      <c r="L12" s="5">
        <v>7260</v>
      </c>
      <c r="M12" s="4">
        <f t="shared" si="3"/>
        <v>93.07692307692308</v>
      </c>
      <c r="P12" s="12"/>
      <c r="Q12" s="12"/>
    </row>
    <row r="13" spans="1:17" x14ac:dyDescent="0.25">
      <c r="A13" s="2" t="s">
        <v>15</v>
      </c>
      <c r="B13" s="3">
        <v>1063</v>
      </c>
      <c r="C13" s="2">
        <v>767</v>
      </c>
      <c r="D13" s="4">
        <f t="shared" si="0"/>
        <v>72.154280338664151</v>
      </c>
      <c r="E13" s="2">
        <v>988</v>
      </c>
      <c r="F13" s="2">
        <v>840</v>
      </c>
      <c r="G13" s="4">
        <f t="shared" si="1"/>
        <v>85.020242914979761</v>
      </c>
      <c r="H13" s="5">
        <v>1062</v>
      </c>
      <c r="I13" s="5">
        <v>946</v>
      </c>
      <c r="J13" s="4">
        <f t="shared" si="2"/>
        <v>89.077212806026367</v>
      </c>
      <c r="K13" s="5">
        <v>1027</v>
      </c>
      <c r="L13" s="5">
        <v>978</v>
      </c>
      <c r="M13" s="4">
        <f t="shared" si="3"/>
        <v>95.228821811100289</v>
      </c>
      <c r="P13" s="12"/>
    </row>
    <row r="14" spans="1:17" x14ac:dyDescent="0.25">
      <c r="A14" s="2" t="s">
        <v>16</v>
      </c>
      <c r="B14" s="3">
        <v>146941</v>
      </c>
      <c r="C14" s="3">
        <v>144171</v>
      </c>
      <c r="D14" s="4">
        <f t="shared" si="0"/>
        <v>98.114889649587241</v>
      </c>
      <c r="E14" s="3">
        <v>146554</v>
      </c>
      <c r="F14" s="3">
        <v>144857</v>
      </c>
      <c r="G14" s="4">
        <f t="shared" si="1"/>
        <v>98.842065040872313</v>
      </c>
      <c r="H14" s="5">
        <v>145609</v>
      </c>
      <c r="I14" s="5">
        <v>145275</v>
      </c>
      <c r="J14" s="4">
        <f t="shared" si="2"/>
        <v>99.770618574401311</v>
      </c>
      <c r="K14" s="5">
        <v>146024</v>
      </c>
      <c r="L14" s="5">
        <v>145754</v>
      </c>
      <c r="M14" s="4">
        <f t="shared" si="3"/>
        <v>99.815098887854049</v>
      </c>
      <c r="P14" s="12"/>
      <c r="Q14" s="12"/>
    </row>
    <row r="15" spans="1:17" x14ac:dyDescent="0.25">
      <c r="A15" s="2" t="s">
        <v>17</v>
      </c>
      <c r="B15" s="3">
        <v>24600</v>
      </c>
      <c r="C15" s="3">
        <v>22221</v>
      </c>
      <c r="D15" s="4">
        <f t="shared" si="0"/>
        <v>90.329268292682926</v>
      </c>
      <c r="E15" s="3">
        <v>24758</v>
      </c>
      <c r="F15" s="3">
        <v>23088</v>
      </c>
      <c r="G15" s="4">
        <f t="shared" si="1"/>
        <v>93.254705549721308</v>
      </c>
      <c r="H15" s="5">
        <v>25125</v>
      </c>
      <c r="I15" s="5">
        <v>23227</v>
      </c>
      <c r="J15" s="4">
        <f t="shared" si="2"/>
        <v>92.445771144278609</v>
      </c>
      <c r="K15" s="5">
        <v>25348</v>
      </c>
      <c r="L15" s="5">
        <v>23702</v>
      </c>
      <c r="M15" s="4">
        <f t="shared" si="3"/>
        <v>93.506391036768193</v>
      </c>
      <c r="P15" s="12"/>
      <c r="Q15" s="12"/>
    </row>
    <row r="16" spans="1:17" x14ac:dyDescent="0.25">
      <c r="A16" s="2" t="s">
        <v>0</v>
      </c>
      <c r="B16" s="3">
        <v>2031</v>
      </c>
      <c r="C16" s="3">
        <v>1256</v>
      </c>
      <c r="D16" s="4">
        <f t="shared" si="0"/>
        <v>61.841457410142787</v>
      </c>
      <c r="E16" s="3">
        <v>2011</v>
      </c>
      <c r="F16" s="3">
        <v>1550</v>
      </c>
      <c r="G16" s="4">
        <f t="shared" si="1"/>
        <v>77.076081551466942</v>
      </c>
      <c r="H16" s="5">
        <v>2372</v>
      </c>
      <c r="I16" s="5">
        <v>2042</v>
      </c>
      <c r="J16" s="4">
        <f t="shared" si="2"/>
        <v>86.087689713322092</v>
      </c>
      <c r="K16" s="5">
        <v>2547</v>
      </c>
      <c r="L16" s="5">
        <v>2206</v>
      </c>
      <c r="M16" s="4">
        <f t="shared" si="3"/>
        <v>86.611700039261876</v>
      </c>
      <c r="P16" s="12"/>
      <c r="Q16" s="12"/>
    </row>
    <row r="17" spans="1:17" x14ac:dyDescent="0.25">
      <c r="A17" s="2" t="s">
        <v>18</v>
      </c>
      <c r="B17" s="3">
        <v>1127</v>
      </c>
      <c r="C17" s="2">
        <v>770</v>
      </c>
      <c r="D17" s="4">
        <f t="shared" si="0"/>
        <v>68.322981366459629</v>
      </c>
      <c r="E17" s="3">
        <v>1041</v>
      </c>
      <c r="F17" s="2">
        <v>865</v>
      </c>
      <c r="G17" s="4">
        <f t="shared" si="1"/>
        <v>83.093179634966376</v>
      </c>
      <c r="H17" s="5">
        <v>1149</v>
      </c>
      <c r="I17" s="5">
        <v>1024</v>
      </c>
      <c r="J17" s="4">
        <f t="shared" si="2"/>
        <v>89.12097476066144</v>
      </c>
      <c r="K17" s="5">
        <v>926</v>
      </c>
      <c r="L17" s="5">
        <v>847</v>
      </c>
      <c r="M17" s="4">
        <f t="shared" si="3"/>
        <v>91.46868250539957</v>
      </c>
    </row>
    <row r="18" spans="1:17" x14ac:dyDescent="0.25">
      <c r="A18" s="7" t="s">
        <v>19</v>
      </c>
      <c r="B18" s="8">
        <v>284405</v>
      </c>
      <c r="C18" s="8">
        <v>271609</v>
      </c>
      <c r="D18" s="9">
        <f t="shared" si="0"/>
        <v>95.500782335050374</v>
      </c>
      <c r="E18" s="8">
        <v>286932</v>
      </c>
      <c r="F18" s="8">
        <v>278811</v>
      </c>
      <c r="G18" s="9">
        <f t="shared" si="1"/>
        <v>97.169712684538496</v>
      </c>
      <c r="H18" s="10">
        <v>289087</v>
      </c>
      <c r="I18" s="10">
        <v>283567</v>
      </c>
      <c r="J18" s="9">
        <f t="shared" si="2"/>
        <v>98.090540217996661</v>
      </c>
      <c r="K18" s="11">
        <f>SUM(K5:K17)</f>
        <v>292016</v>
      </c>
      <c r="L18" s="11">
        <f>SUM(L5:L17)</f>
        <v>287159</v>
      </c>
      <c r="M18" s="9">
        <f t="shared" si="3"/>
        <v>98.336734973426104</v>
      </c>
      <c r="P18" s="12"/>
      <c r="Q18" s="12"/>
    </row>
    <row r="19" spans="1:17" x14ac:dyDescent="0.25">
      <c r="P19" s="12"/>
      <c r="Q19" s="12"/>
    </row>
  </sheetData>
  <mergeCells count="5">
    <mergeCell ref="K3:M3"/>
    <mergeCell ref="H3:J3"/>
    <mergeCell ref="E3:G3"/>
    <mergeCell ref="B3:D3"/>
    <mergeCell ref="A3:A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9A453-7C73-4D15-866F-ACC221D48AF9}">
  <dimension ref="A2:B14"/>
  <sheetViews>
    <sheetView workbookViewId="0">
      <selection activeCell="B15" sqref="B15"/>
    </sheetView>
  </sheetViews>
  <sheetFormatPr defaultRowHeight="15" x14ac:dyDescent="0.25"/>
  <cols>
    <col min="1" max="1" width="29.7109375" customWidth="1"/>
    <col min="2" max="2" width="75.5703125" customWidth="1"/>
  </cols>
  <sheetData>
    <row r="2" spans="1:2" ht="12.95" customHeight="1" x14ac:dyDescent="0.25">
      <c r="A2" s="23" t="s">
        <v>21</v>
      </c>
      <c r="B2" s="24"/>
    </row>
    <row r="3" spans="1:2" ht="21.75" customHeight="1" x14ac:dyDescent="0.25">
      <c r="A3" s="14" t="s">
        <v>22</v>
      </c>
      <c r="B3" s="20" t="s">
        <v>36</v>
      </c>
    </row>
    <row r="4" spans="1:2" ht="153" x14ac:dyDescent="0.25">
      <c r="A4" s="15" t="s">
        <v>23</v>
      </c>
      <c r="B4" s="16" t="s">
        <v>37</v>
      </c>
    </row>
    <row r="5" spans="1:2" ht="27.75" customHeight="1" x14ac:dyDescent="0.25">
      <c r="A5" s="15" t="s">
        <v>24</v>
      </c>
      <c r="B5" s="16" t="s">
        <v>38</v>
      </c>
    </row>
    <row r="6" spans="1:2" x14ac:dyDescent="0.25">
      <c r="A6" s="15" t="s">
        <v>25</v>
      </c>
      <c r="B6" s="16" t="s">
        <v>44</v>
      </c>
    </row>
    <row r="7" spans="1:2" ht="25.5" x14ac:dyDescent="0.25">
      <c r="A7" s="15" t="s">
        <v>26</v>
      </c>
      <c r="B7" s="16" t="s">
        <v>39</v>
      </c>
    </row>
    <row r="8" spans="1:2" x14ac:dyDescent="0.25">
      <c r="A8" s="15" t="s">
        <v>27</v>
      </c>
      <c r="B8" s="17" t="s">
        <v>40</v>
      </c>
    </row>
    <row r="9" spans="1:2" x14ac:dyDescent="0.25">
      <c r="A9" s="15" t="s">
        <v>28</v>
      </c>
      <c r="B9" s="17" t="s">
        <v>29</v>
      </c>
    </row>
    <row r="10" spans="1:2" x14ac:dyDescent="0.25">
      <c r="A10" s="15" t="s">
        <v>30</v>
      </c>
      <c r="B10" s="17" t="s">
        <v>31</v>
      </c>
    </row>
    <row r="11" spans="1:2" x14ac:dyDescent="0.25">
      <c r="A11" s="15" t="s">
        <v>32</v>
      </c>
      <c r="B11" s="17" t="s">
        <v>33</v>
      </c>
    </row>
    <row r="12" spans="1:2" x14ac:dyDescent="0.25">
      <c r="A12" s="25" t="s">
        <v>34</v>
      </c>
      <c r="B12" s="15" t="s">
        <v>41</v>
      </c>
    </row>
    <row r="13" spans="1:2" x14ac:dyDescent="0.25">
      <c r="A13" s="26"/>
      <c r="B13" s="15" t="s">
        <v>42</v>
      </c>
    </row>
    <row r="14" spans="1:2" x14ac:dyDescent="0.25">
      <c r="A14" s="18" t="s">
        <v>35</v>
      </c>
      <c r="B14" s="15" t="s">
        <v>43</v>
      </c>
    </row>
  </sheetData>
  <mergeCells count="2">
    <mergeCell ref="A2:B2"/>
    <mergeCell ref="A12:A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Banan Nabila</cp:lastModifiedBy>
  <dcterms:created xsi:type="dcterms:W3CDTF">2024-12-29T13:07:36Z</dcterms:created>
  <dcterms:modified xsi:type="dcterms:W3CDTF">2025-01-24T06:49:48Z</dcterms:modified>
  <cp:category/>
</cp:coreProperties>
</file>