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CD87771E-8EFF-429C-9CAD-9D5C5C4199B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F/AqBcz9dBzEgpobeVDUaS+Y+ZWi+OEf9SFl6uPWM40="/>
    </ext>
  </extLst>
</workbook>
</file>

<file path=xl/calcChain.xml><?xml version="1.0" encoding="utf-8"?>
<calcChain xmlns="http://schemas.openxmlformats.org/spreadsheetml/2006/main">
  <c r="U44" i="1" l="1"/>
  <c r="T44" i="1"/>
  <c r="S44" i="1"/>
  <c r="O44" i="1"/>
  <c r="N44" i="1"/>
  <c r="M44" i="1"/>
  <c r="L44" i="1"/>
  <c r="K44" i="1"/>
  <c r="J44" i="1"/>
  <c r="F44" i="1"/>
  <c r="E44" i="1"/>
  <c r="D44" i="1"/>
</calcChain>
</file>

<file path=xl/sharedStrings.xml><?xml version="1.0" encoding="utf-8"?>
<sst xmlns="http://schemas.openxmlformats.org/spreadsheetml/2006/main" count="92" uniqueCount="74">
  <si>
    <t>No</t>
  </si>
  <si>
    <t>Kode Wilayah</t>
  </si>
  <si>
    <t>Wilayah</t>
  </si>
  <si>
    <t>Pendidik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</si>
  <si>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</si>
  <si>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</si>
  <si>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</si>
  <si>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</si>
  <si>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</si>
  <si>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</si>
  <si>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</si>
  <si>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</si>
  <si>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</si>
  <si>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</si>
  <si>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</si>
  <si>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</si>
  <si>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</si>
  <si>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</si>
  <si>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</si>
  <si>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</si>
  <si>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</si>
  <si>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</si>
  <si>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</si>
  <si>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</si>
  <si>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</si>
  <si>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</si>
  <si>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</si>
  <si>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</si>
  <si>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</si>
  <si>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</si>
  <si>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</si>
  <si>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</si>
  <si>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</si>
  <si>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</si>
  <si>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</si>
  <si>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</si>
  <si>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</si>
  <si>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</si>
  <si>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</si>
  <si>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</si>
  <si>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</si>
  <si>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</si>
  <si>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</si>
  <si>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</si>
  <si>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</si>
  <si>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</si>
  <si>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</si>
  <si>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</si>
  <si>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</si>
  <si>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</si>
  <si>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</si>
  <si>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</si>
  <si>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</si>
  <si>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</si>
  <si>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</si>
  <si>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</si>
  <si>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</si>
  <si>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-</t>
  </si>
  <si>
    <t>Interpretasi</t>
  </si>
  <si>
    <t>Semakin tinggi jumlah, semakin banyak guru/pendidik yang memiliki kualifikasi akademik minimal S1/D4 di suatu wilayah dan waktu tertentu</t>
  </si>
  <si>
    <t>Frekuensi update</t>
  </si>
  <si>
    <t>Tahunan</t>
  </si>
  <si>
    <t>Ukuran</t>
  </si>
  <si>
    <t>Satuan</t>
  </si>
  <si>
    <t>Orang</t>
  </si>
  <si>
    <t>Organisasi penanggung jawab</t>
  </si>
  <si>
    <t>Klasifikasi Penyajian</t>
  </si>
  <si>
    <t>Bentuk Satuan Pendidikan</t>
  </si>
  <si>
    <t>Status Satuan Pendidikan</t>
  </si>
  <si>
    <t>Kementerian Pendidikan Dasar dan Menengah</t>
  </si>
  <si>
    <t>Konsep</t>
  </si>
  <si>
    <t>Jumlah Guru per Jenjang Pendidikan yang Memiliki Kualifikasi Akademik Minimal S1/D4, Tahun Ajaran 2025/2026</t>
  </si>
  <si>
    <t>Pejumlahan guru/pendidik yang memiliki kualifikasi akademik Diploma 4, Strata 1, Strata 2, dan Strata 3.</t>
  </si>
  <si>
    <t>Banyaknya guru/pendidik yang memiliki kualifikasi akademik lebih atau sama dengan Diploma 4 atau Strata 1 di suatu wilayah pada suatu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</si>
</sst>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1F1F1F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6" fillId="0" borderId="7" xfId="0" applyFont="1" applyBorder="1" applyAlignment="1">
      <alignment wrapText="1"/>
    </xf>
    <xf numFmtId="0" fontId="7" fillId="3" borderId="7" xfId="0" quotePrefix="1" applyFont="1" applyFill="1" applyBorder="1" applyAlignment="1">
      <alignment wrapText="1"/>
    </xf>
    <xf numFmtId="0" fontId="6" fillId="3" borderId="7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wrapText="1"/>
    </xf>
    <xf numFmtId="0" fontId="6" fillId="0" borderId="7" xfId="0" applyFont="1" applyBorder="1" applyAlignment="1">
      <alignment vertical="top" wrapText="1"/>
    </xf>
    <xf numFmtId="0" fontId="1" fillId="0" borderId="7" xfId="0" applyFont="1" applyBorder="1" applyAlignment="1">
      <alignment horizontal="left" vertical="center" wrapText="1"/>
    </xf>
    <xf numFmtId="0" fontId="9" fillId="0" borderId="0" xfId="0" applyFont="1"/>
    <xf numFmtId="3" fontId="5" fillId="0" borderId="6" xfId="0" applyNumberFormat="1" applyFont="1" applyBorder="1"/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tabSelected="1" workbookViewId="0">
      <selection activeCell="W11" sqref="W11"/>
    </sheetView>
  </sheetViews>
  <sheetFormatPr defaultColWidth="14.42578125" defaultRowHeight="15" customHeight="1"/>
  <cols>
    <col min="1" max="2" width="8.7109375" customWidth="1"/>
    <col min="3" max="3" width="22.5703125" customWidth="1"/>
    <col min="4" max="25" width="8.7109375" customWidth="1"/>
  </cols>
  <sheetData>
    <row r="1" spans="1:21" ht="14.25" customHeight="1">
      <c r="A1" s="15" t="s">
        <v>71</v>
      </c>
    </row>
    <row r="2" spans="1:21" ht="14.25" customHeight="1"/>
    <row r="3" spans="1:21" ht="28.5" customHeight="1">
      <c r="A3" s="24" t="s">
        <v>0</v>
      </c>
      <c r="B3" s="26" t="s">
        <v>1</v>
      </c>
      <c r="C3" s="24" t="s">
        <v>2</v>
      </c>
      <c r="D3" s="23" t="s">
        <v>4</v>
      </c>
      <c r="E3" s="20"/>
      <c r="F3" s="21"/>
      <c r="G3" s="23" t="s">
        <v>5</v>
      </c>
      <c r="H3" s="20"/>
      <c r="I3" s="21"/>
      <c r="J3" s="19" t="s">
        <v>6</v>
      </c>
      <c r="K3" s="20"/>
      <c r="L3" s="21"/>
      <c r="M3" s="19" t="s">
        <v>7</v>
      </c>
      <c r="N3" s="20"/>
      <c r="O3" s="21"/>
      <c r="P3" s="19" t="s">
        <v>8</v>
      </c>
      <c r="Q3" s="20"/>
      <c r="R3" s="21"/>
      <c r="S3" s="23" t="s">
        <v>9</v>
      </c>
      <c r="T3" s="20"/>
      <c r="U3" s="21"/>
    </row>
    <row r="4" spans="1:21" ht="14.25" customHeight="1">
      <c r="A4" s="25"/>
      <c r="B4" s="27"/>
      <c r="C4" s="25"/>
      <c r="D4" s="1" t="s">
        <v>10</v>
      </c>
      <c r="E4" s="1" t="s">
        <v>11</v>
      </c>
      <c r="F4" s="1" t="s">
        <v>12</v>
      </c>
      <c r="G4" s="1" t="s">
        <v>10</v>
      </c>
      <c r="H4" s="1" t="s">
        <v>11</v>
      </c>
      <c r="I4" s="1" t="s">
        <v>12</v>
      </c>
      <c r="J4" s="1" t="s">
        <v>10</v>
      </c>
      <c r="K4" s="1" t="s">
        <v>11</v>
      </c>
      <c r="L4" s="1" t="s">
        <v>12</v>
      </c>
      <c r="M4" s="1" t="s">
        <v>10</v>
      </c>
      <c r="N4" s="1" t="s">
        <v>11</v>
      </c>
      <c r="O4" s="1" t="s">
        <v>12</v>
      </c>
      <c r="P4" s="1" t="s">
        <v>10</v>
      </c>
      <c r="Q4" s="1" t="s">
        <v>11</v>
      </c>
      <c r="R4" s="1" t="s">
        <v>12</v>
      </c>
      <c r="S4" s="1" t="s">
        <v>10</v>
      </c>
      <c r="T4" s="1" t="s">
        <v>11</v>
      </c>
      <c r="U4" s="1" t="s">
        <v>12</v>
      </c>
    </row>
    <row r="5" spans="1:21" ht="14.25" customHeight="1">
      <c r="A5" s="2">
        <v>1</v>
      </c>
      <c r="B5" s="3">
        <v>11</v>
      </c>
      <c r="C5" s="4" t="s">
        <v>18</v>
      </c>
      <c r="D5" s="16">
        <v>3916</v>
      </c>
      <c r="E5" s="16">
        <v>4453</v>
      </c>
      <c r="F5" s="16">
        <v>8369</v>
      </c>
      <c r="G5" s="16">
        <v>43286</v>
      </c>
      <c r="H5" s="16">
        <v>3026</v>
      </c>
      <c r="I5" s="16">
        <v>46312</v>
      </c>
      <c r="J5" s="16">
        <v>19013</v>
      </c>
      <c r="K5" s="16">
        <v>4100</v>
      </c>
      <c r="L5" s="16">
        <v>23113</v>
      </c>
      <c r="M5" s="16">
        <v>12231</v>
      </c>
      <c r="N5" s="16">
        <v>1579</v>
      </c>
      <c r="O5" s="16">
        <v>13810</v>
      </c>
      <c r="P5" s="16">
        <v>6406</v>
      </c>
      <c r="Q5" s="16">
        <v>744</v>
      </c>
      <c r="R5" s="16">
        <v>7150</v>
      </c>
      <c r="S5" s="16">
        <v>775</v>
      </c>
      <c r="T5" s="16">
        <v>419</v>
      </c>
      <c r="U5" s="16">
        <v>1194</v>
      </c>
    </row>
    <row r="6" spans="1:21" ht="14.25" customHeight="1">
      <c r="A6" s="2">
        <v>2</v>
      </c>
      <c r="B6" s="3">
        <v>12</v>
      </c>
      <c r="C6" s="4" t="s">
        <v>19</v>
      </c>
      <c r="D6" s="16">
        <v>1028</v>
      </c>
      <c r="E6" s="16">
        <v>7062</v>
      </c>
      <c r="F6" s="16">
        <v>8090</v>
      </c>
      <c r="G6" s="16">
        <v>84132</v>
      </c>
      <c r="H6" s="16">
        <v>18216</v>
      </c>
      <c r="I6" s="16">
        <v>102348</v>
      </c>
      <c r="J6" s="16">
        <v>30472</v>
      </c>
      <c r="K6" s="16">
        <v>12494</v>
      </c>
      <c r="L6" s="16">
        <v>42966</v>
      </c>
      <c r="M6" s="16">
        <v>15595</v>
      </c>
      <c r="N6" s="16">
        <v>7566</v>
      </c>
      <c r="O6" s="16">
        <v>23161</v>
      </c>
      <c r="P6" s="16">
        <v>10684</v>
      </c>
      <c r="Q6" s="16">
        <v>8808</v>
      </c>
      <c r="R6" s="16">
        <v>19492</v>
      </c>
      <c r="S6" s="16">
        <v>541</v>
      </c>
      <c r="T6" s="16">
        <v>287</v>
      </c>
      <c r="U6" s="16">
        <v>828</v>
      </c>
    </row>
    <row r="7" spans="1:21" ht="14.25" customHeight="1">
      <c r="A7" s="2">
        <v>3</v>
      </c>
      <c r="B7" s="3">
        <v>13</v>
      </c>
      <c r="C7" s="4" t="s">
        <v>20</v>
      </c>
      <c r="D7" s="16">
        <v>840</v>
      </c>
      <c r="E7" s="16">
        <v>5023</v>
      </c>
      <c r="F7" s="16">
        <v>5863</v>
      </c>
      <c r="G7" s="16">
        <v>39721</v>
      </c>
      <c r="H7" s="16">
        <v>5072</v>
      </c>
      <c r="I7" s="16">
        <v>44793</v>
      </c>
      <c r="J7" s="16">
        <v>14549</v>
      </c>
      <c r="K7" s="16">
        <v>2230</v>
      </c>
      <c r="L7" s="16">
        <v>16779</v>
      </c>
      <c r="M7" s="16">
        <v>9183</v>
      </c>
      <c r="N7" s="16">
        <v>1237</v>
      </c>
      <c r="O7" s="16">
        <v>10420</v>
      </c>
      <c r="P7" s="16">
        <v>5707</v>
      </c>
      <c r="Q7" s="16">
        <v>1160</v>
      </c>
      <c r="R7" s="16">
        <v>6867</v>
      </c>
      <c r="S7" s="16">
        <v>583</v>
      </c>
      <c r="T7" s="16">
        <v>916</v>
      </c>
      <c r="U7" s="16">
        <v>1499</v>
      </c>
    </row>
    <row r="8" spans="1:21" ht="14.25" customHeight="1">
      <c r="A8" s="2">
        <v>4</v>
      </c>
      <c r="B8" s="3">
        <v>14</v>
      </c>
      <c r="C8" s="4" t="s">
        <v>21</v>
      </c>
      <c r="D8" s="16">
        <v>940</v>
      </c>
      <c r="E8" s="16">
        <v>5084</v>
      </c>
      <c r="F8" s="16">
        <v>6024</v>
      </c>
      <c r="G8" s="16">
        <v>40718</v>
      </c>
      <c r="H8" s="16">
        <v>8684</v>
      </c>
      <c r="I8" s="16">
        <v>49402</v>
      </c>
      <c r="J8" s="16">
        <v>16043</v>
      </c>
      <c r="K8" s="16">
        <v>4275</v>
      </c>
      <c r="L8" s="16">
        <v>20318</v>
      </c>
      <c r="M8" s="16">
        <v>10057</v>
      </c>
      <c r="N8" s="16">
        <v>1984</v>
      </c>
      <c r="O8" s="16">
        <v>12041</v>
      </c>
      <c r="P8" s="16">
        <v>5326</v>
      </c>
      <c r="Q8" s="16">
        <v>2716</v>
      </c>
      <c r="R8" s="16">
        <v>8042</v>
      </c>
      <c r="S8" s="16">
        <v>369</v>
      </c>
      <c r="T8" s="16">
        <v>236</v>
      </c>
      <c r="U8" s="16">
        <v>605</v>
      </c>
    </row>
    <row r="9" spans="1:21" ht="14.25" customHeight="1">
      <c r="A9" s="2">
        <v>5</v>
      </c>
      <c r="B9" s="3">
        <v>15</v>
      </c>
      <c r="C9" s="4" t="s">
        <v>22</v>
      </c>
      <c r="D9" s="16">
        <v>890</v>
      </c>
      <c r="E9" s="16">
        <v>2551</v>
      </c>
      <c r="F9" s="16">
        <v>3441</v>
      </c>
      <c r="G9" s="16">
        <v>24991</v>
      </c>
      <c r="H9" s="16">
        <v>2271</v>
      </c>
      <c r="I9" s="16">
        <v>27262</v>
      </c>
      <c r="J9" s="16">
        <v>9366</v>
      </c>
      <c r="K9" s="16">
        <v>1430</v>
      </c>
      <c r="L9" s="16">
        <v>10796</v>
      </c>
      <c r="M9" s="16">
        <v>4880</v>
      </c>
      <c r="N9" s="16">
        <v>754</v>
      </c>
      <c r="O9" s="16">
        <v>5634</v>
      </c>
      <c r="P9" s="16">
        <v>3415</v>
      </c>
      <c r="Q9" s="16">
        <v>824</v>
      </c>
      <c r="R9" s="16">
        <v>4239</v>
      </c>
      <c r="S9" s="16">
        <v>356</v>
      </c>
      <c r="T9" s="16">
        <v>69</v>
      </c>
      <c r="U9" s="16">
        <v>425</v>
      </c>
    </row>
    <row r="10" spans="1:21" ht="14.25" customHeight="1">
      <c r="A10" s="2">
        <v>6</v>
      </c>
      <c r="B10" s="3">
        <v>16</v>
      </c>
      <c r="C10" s="4" t="s">
        <v>23</v>
      </c>
      <c r="D10" s="16">
        <v>818</v>
      </c>
      <c r="E10" s="16">
        <v>4990</v>
      </c>
      <c r="F10" s="16">
        <v>5808</v>
      </c>
      <c r="G10" s="16">
        <v>49923</v>
      </c>
      <c r="H10" s="16">
        <v>5858</v>
      </c>
      <c r="I10" s="16">
        <v>55781</v>
      </c>
      <c r="J10" s="16">
        <v>20416</v>
      </c>
      <c r="K10" s="16">
        <v>4721</v>
      </c>
      <c r="L10" s="16">
        <v>25137</v>
      </c>
      <c r="M10" s="16">
        <v>11573</v>
      </c>
      <c r="N10" s="16">
        <v>3207</v>
      </c>
      <c r="O10" s="16">
        <v>14780</v>
      </c>
      <c r="P10" s="16">
        <v>5676</v>
      </c>
      <c r="Q10" s="16">
        <v>2758</v>
      </c>
      <c r="R10" s="16">
        <v>8434</v>
      </c>
      <c r="S10" s="16">
        <v>299</v>
      </c>
      <c r="T10" s="16">
        <v>213</v>
      </c>
      <c r="U10" s="16">
        <v>512</v>
      </c>
    </row>
    <row r="11" spans="1:21" ht="14.25" customHeight="1">
      <c r="A11" s="2">
        <v>7</v>
      </c>
      <c r="B11" s="3">
        <v>17</v>
      </c>
      <c r="C11" s="4" t="s">
        <v>37</v>
      </c>
      <c r="D11" s="16">
        <v>711</v>
      </c>
      <c r="E11" s="16">
        <v>2143</v>
      </c>
      <c r="F11" s="16">
        <v>2854</v>
      </c>
      <c r="G11" s="16">
        <v>14419</v>
      </c>
      <c r="H11" s="16">
        <v>1795</v>
      </c>
      <c r="I11" s="16">
        <v>16214</v>
      </c>
      <c r="J11" s="16">
        <v>7314</v>
      </c>
      <c r="K11" s="16">
        <v>823</v>
      </c>
      <c r="L11" s="16">
        <v>8137</v>
      </c>
      <c r="M11" s="16">
        <v>3895</v>
      </c>
      <c r="N11" s="16">
        <v>297</v>
      </c>
      <c r="O11" s="16">
        <v>4192</v>
      </c>
      <c r="P11" s="16">
        <v>2558</v>
      </c>
      <c r="Q11" s="16">
        <v>320</v>
      </c>
      <c r="R11" s="16">
        <v>2878</v>
      </c>
      <c r="S11" s="16">
        <v>288</v>
      </c>
      <c r="T11" s="16">
        <v>49</v>
      </c>
      <c r="U11" s="16">
        <v>337</v>
      </c>
    </row>
    <row r="12" spans="1:21" ht="14.25" customHeight="1">
      <c r="A12" s="2">
        <v>8</v>
      </c>
      <c r="B12" s="3">
        <v>18</v>
      </c>
      <c r="C12" s="4" t="s">
        <v>24</v>
      </c>
      <c r="D12" s="16">
        <v>580</v>
      </c>
      <c r="E12" s="16">
        <v>7030</v>
      </c>
      <c r="F12" s="16">
        <v>7610</v>
      </c>
      <c r="G12" s="16">
        <v>47024</v>
      </c>
      <c r="H12" s="16">
        <v>5278</v>
      </c>
      <c r="I12" s="16">
        <v>52302</v>
      </c>
      <c r="J12" s="16">
        <v>15984</v>
      </c>
      <c r="K12" s="16">
        <v>6509</v>
      </c>
      <c r="L12" s="16">
        <v>22493</v>
      </c>
      <c r="M12" s="16">
        <v>9026</v>
      </c>
      <c r="N12" s="16">
        <v>3094</v>
      </c>
      <c r="O12" s="16">
        <v>12120</v>
      </c>
      <c r="P12" s="16">
        <v>5320</v>
      </c>
      <c r="Q12" s="16">
        <v>4927</v>
      </c>
      <c r="R12" s="16">
        <v>10247</v>
      </c>
      <c r="S12" s="16">
        <v>294</v>
      </c>
      <c r="T12" s="16">
        <v>145</v>
      </c>
      <c r="U12" s="16">
        <v>439</v>
      </c>
    </row>
    <row r="13" spans="1:21" ht="14.25" customHeight="1">
      <c r="A13" s="2">
        <v>9</v>
      </c>
      <c r="B13" s="3">
        <v>19</v>
      </c>
      <c r="C13" s="4" t="s">
        <v>40</v>
      </c>
      <c r="D13" s="16">
        <v>403</v>
      </c>
      <c r="E13" s="16">
        <v>819</v>
      </c>
      <c r="F13" s="16">
        <v>1222</v>
      </c>
      <c r="G13" s="16">
        <v>7791</v>
      </c>
      <c r="H13" s="16">
        <v>948</v>
      </c>
      <c r="I13" s="16">
        <v>8739</v>
      </c>
      <c r="J13" s="16">
        <v>2991</v>
      </c>
      <c r="K13" s="16">
        <v>660</v>
      </c>
      <c r="L13" s="16">
        <v>3651</v>
      </c>
      <c r="M13" s="16">
        <v>1479</v>
      </c>
      <c r="N13" s="16">
        <v>394</v>
      </c>
      <c r="O13" s="16">
        <v>1873</v>
      </c>
      <c r="P13" s="16">
        <v>1285</v>
      </c>
      <c r="Q13" s="16">
        <v>326</v>
      </c>
      <c r="R13" s="16">
        <v>1611</v>
      </c>
      <c r="S13" s="16">
        <v>140</v>
      </c>
      <c r="T13" s="16">
        <v>28</v>
      </c>
      <c r="U13" s="16">
        <v>168</v>
      </c>
    </row>
    <row r="14" spans="1:21" ht="14.25" customHeight="1">
      <c r="A14" s="2">
        <v>10</v>
      </c>
      <c r="B14" s="3">
        <v>21</v>
      </c>
      <c r="C14" s="4" t="s">
        <v>42</v>
      </c>
      <c r="D14" s="16">
        <v>353</v>
      </c>
      <c r="E14" s="16">
        <v>1365</v>
      </c>
      <c r="F14" s="16">
        <v>1718</v>
      </c>
      <c r="G14" s="16">
        <v>8430</v>
      </c>
      <c r="H14" s="16">
        <v>4395</v>
      </c>
      <c r="I14" s="16">
        <v>12825</v>
      </c>
      <c r="J14" s="16">
        <v>4086</v>
      </c>
      <c r="K14" s="16">
        <v>1891</v>
      </c>
      <c r="L14" s="16">
        <v>5977</v>
      </c>
      <c r="M14" s="16">
        <v>2953</v>
      </c>
      <c r="N14" s="16">
        <v>754</v>
      </c>
      <c r="O14" s="16">
        <v>3707</v>
      </c>
      <c r="P14" s="16">
        <v>1737</v>
      </c>
      <c r="Q14" s="16">
        <v>641</v>
      </c>
      <c r="R14" s="16">
        <v>2378</v>
      </c>
      <c r="S14" s="16">
        <v>172</v>
      </c>
      <c r="T14" s="16">
        <v>109</v>
      </c>
      <c r="U14" s="16">
        <v>281</v>
      </c>
    </row>
    <row r="15" spans="1:21" ht="14.25" customHeight="1">
      <c r="A15" s="2">
        <v>11</v>
      </c>
      <c r="B15" s="3">
        <v>31</v>
      </c>
      <c r="C15" s="4" t="s">
        <v>13</v>
      </c>
      <c r="D15" s="16">
        <v>292</v>
      </c>
      <c r="E15" s="16">
        <v>5307</v>
      </c>
      <c r="F15" s="16">
        <v>5599</v>
      </c>
      <c r="G15" s="16">
        <v>21768</v>
      </c>
      <c r="H15" s="16">
        <v>13924</v>
      </c>
      <c r="I15" s="16">
        <v>35692</v>
      </c>
      <c r="J15" s="16">
        <v>9109</v>
      </c>
      <c r="K15" s="16">
        <v>8492</v>
      </c>
      <c r="L15" s="16">
        <v>17601</v>
      </c>
      <c r="M15" s="16">
        <v>4548</v>
      </c>
      <c r="N15" s="16">
        <v>6690</v>
      </c>
      <c r="O15" s="16">
        <v>11238</v>
      </c>
      <c r="P15" s="16">
        <v>3213</v>
      </c>
      <c r="Q15" s="16">
        <v>7332</v>
      </c>
      <c r="R15" s="16">
        <v>10545</v>
      </c>
      <c r="S15" s="16">
        <v>635</v>
      </c>
      <c r="T15" s="16">
        <v>621</v>
      </c>
      <c r="U15" s="16">
        <v>1256</v>
      </c>
    </row>
    <row r="16" spans="1:21" ht="14.25" customHeight="1">
      <c r="A16" s="2">
        <v>12</v>
      </c>
      <c r="B16" s="3">
        <v>32</v>
      </c>
      <c r="C16" s="4" t="s">
        <v>14</v>
      </c>
      <c r="D16" s="16">
        <v>860</v>
      </c>
      <c r="E16" s="16">
        <v>22605</v>
      </c>
      <c r="F16" s="16">
        <v>23465</v>
      </c>
      <c r="G16" s="16">
        <v>158917</v>
      </c>
      <c r="H16" s="16">
        <v>36128</v>
      </c>
      <c r="I16" s="16">
        <v>195045</v>
      </c>
      <c r="J16" s="16">
        <v>51604</v>
      </c>
      <c r="K16" s="16">
        <v>37867</v>
      </c>
      <c r="L16" s="16">
        <v>89471</v>
      </c>
      <c r="M16" s="16">
        <v>25898</v>
      </c>
      <c r="N16" s="16">
        <v>16940</v>
      </c>
      <c r="O16" s="16">
        <v>42838</v>
      </c>
      <c r="P16" s="16">
        <v>18397</v>
      </c>
      <c r="Q16" s="16">
        <v>35515</v>
      </c>
      <c r="R16" s="16">
        <v>53912</v>
      </c>
      <c r="S16" s="16">
        <v>1948</v>
      </c>
      <c r="T16" s="16">
        <v>2572</v>
      </c>
      <c r="U16" s="16">
        <v>4520</v>
      </c>
    </row>
    <row r="17" spans="1:21" ht="14.25" customHeight="1">
      <c r="A17" s="2">
        <v>13</v>
      </c>
      <c r="B17" s="3">
        <v>33</v>
      </c>
      <c r="C17" s="4" t="s">
        <v>15</v>
      </c>
      <c r="D17" s="16">
        <v>889</v>
      </c>
      <c r="E17" s="16">
        <v>26794</v>
      </c>
      <c r="F17" s="16">
        <v>27683</v>
      </c>
      <c r="G17" s="16">
        <v>134088</v>
      </c>
      <c r="H17" s="16">
        <v>17372</v>
      </c>
      <c r="I17" s="16">
        <v>151460</v>
      </c>
      <c r="J17" s="16">
        <v>48391</v>
      </c>
      <c r="K17" s="16">
        <v>17250</v>
      </c>
      <c r="L17" s="16">
        <v>65641</v>
      </c>
      <c r="M17" s="16">
        <v>17955</v>
      </c>
      <c r="N17" s="16">
        <v>7299</v>
      </c>
      <c r="O17" s="16">
        <v>25254</v>
      </c>
      <c r="P17" s="16">
        <v>16658</v>
      </c>
      <c r="Q17" s="16">
        <v>27468</v>
      </c>
      <c r="R17" s="16">
        <v>44126</v>
      </c>
      <c r="S17" s="16">
        <v>1134</v>
      </c>
      <c r="T17" s="16">
        <v>1423</v>
      </c>
      <c r="U17" s="16">
        <v>2557</v>
      </c>
    </row>
    <row r="18" spans="1:21" ht="14.25" customHeight="1">
      <c r="A18" s="2">
        <v>14</v>
      </c>
      <c r="B18" s="3">
        <v>34</v>
      </c>
      <c r="C18" s="4" t="s">
        <v>16</v>
      </c>
      <c r="D18" s="16">
        <v>268</v>
      </c>
      <c r="E18" s="16">
        <v>4614</v>
      </c>
      <c r="F18" s="16">
        <v>4882</v>
      </c>
      <c r="G18" s="16">
        <v>12978</v>
      </c>
      <c r="H18" s="16">
        <v>5274</v>
      </c>
      <c r="I18" s="16">
        <v>18252</v>
      </c>
      <c r="J18" s="16">
        <v>5209</v>
      </c>
      <c r="K18" s="16">
        <v>3003</v>
      </c>
      <c r="L18" s="16">
        <v>8212</v>
      </c>
      <c r="M18" s="16">
        <v>2374</v>
      </c>
      <c r="N18" s="16">
        <v>1484</v>
      </c>
      <c r="O18" s="16">
        <v>3858</v>
      </c>
      <c r="P18" s="16">
        <v>2994</v>
      </c>
      <c r="Q18" s="16">
        <v>2729</v>
      </c>
      <c r="R18" s="16">
        <v>5723</v>
      </c>
      <c r="S18" s="16">
        <v>331</v>
      </c>
      <c r="T18" s="16">
        <v>660</v>
      </c>
      <c r="U18" s="16">
        <v>991</v>
      </c>
    </row>
    <row r="19" spans="1:21" ht="14.25" customHeight="1">
      <c r="A19" s="2">
        <v>15</v>
      </c>
      <c r="B19" s="3">
        <v>35</v>
      </c>
      <c r="C19" s="4" t="s">
        <v>17</v>
      </c>
      <c r="D19" s="16">
        <v>907</v>
      </c>
      <c r="E19" s="16">
        <v>40885</v>
      </c>
      <c r="F19" s="16">
        <v>41792</v>
      </c>
      <c r="G19" s="16">
        <v>138906</v>
      </c>
      <c r="H19" s="16">
        <v>23759</v>
      </c>
      <c r="I19" s="16">
        <v>162665</v>
      </c>
      <c r="J19" s="16">
        <v>44733</v>
      </c>
      <c r="K19" s="16">
        <v>29154</v>
      </c>
      <c r="L19" s="16">
        <v>73887</v>
      </c>
      <c r="M19" s="16">
        <v>19882</v>
      </c>
      <c r="N19" s="16">
        <v>12925</v>
      </c>
      <c r="O19" s="16">
        <v>32807</v>
      </c>
      <c r="P19" s="16">
        <v>20120</v>
      </c>
      <c r="Q19" s="16">
        <v>26476</v>
      </c>
      <c r="R19" s="16">
        <v>46596</v>
      </c>
      <c r="S19" s="16">
        <v>1185</v>
      </c>
      <c r="T19" s="16">
        <v>2477</v>
      </c>
      <c r="U19" s="16">
        <v>3662</v>
      </c>
    </row>
    <row r="20" spans="1:21" ht="14.25" customHeight="1">
      <c r="A20" s="2">
        <v>16</v>
      </c>
      <c r="B20" s="3">
        <v>36</v>
      </c>
      <c r="C20" s="4" t="s">
        <v>39</v>
      </c>
      <c r="D20" s="16">
        <v>500</v>
      </c>
      <c r="E20" s="16">
        <v>6626</v>
      </c>
      <c r="F20" s="16">
        <v>7126</v>
      </c>
      <c r="G20" s="16">
        <v>42371</v>
      </c>
      <c r="H20" s="16">
        <v>11745</v>
      </c>
      <c r="I20" s="16">
        <v>54116</v>
      </c>
      <c r="J20" s="16">
        <v>13621</v>
      </c>
      <c r="K20" s="16">
        <v>8905</v>
      </c>
      <c r="L20" s="16">
        <v>22526</v>
      </c>
      <c r="M20" s="16">
        <v>6885</v>
      </c>
      <c r="N20" s="16">
        <v>5724</v>
      </c>
      <c r="O20" s="16">
        <v>12609</v>
      </c>
      <c r="P20" s="16">
        <v>4960</v>
      </c>
      <c r="Q20" s="16">
        <v>8481</v>
      </c>
      <c r="R20" s="16">
        <v>13441</v>
      </c>
      <c r="S20" s="16">
        <v>363</v>
      </c>
      <c r="T20" s="16">
        <v>821</v>
      </c>
      <c r="U20" s="16">
        <v>1184</v>
      </c>
    </row>
    <row r="21" spans="1:21" ht="14.25" customHeight="1">
      <c r="A21" s="2">
        <v>17</v>
      </c>
      <c r="B21" s="3">
        <v>51</v>
      </c>
      <c r="C21" s="4" t="s">
        <v>34</v>
      </c>
      <c r="D21" s="16">
        <v>693</v>
      </c>
      <c r="E21" s="16">
        <v>3235</v>
      </c>
      <c r="F21" s="16">
        <v>3928</v>
      </c>
      <c r="G21" s="16">
        <v>19889</v>
      </c>
      <c r="H21" s="16">
        <v>2645</v>
      </c>
      <c r="I21" s="16">
        <v>22534</v>
      </c>
      <c r="J21" s="16">
        <v>8704</v>
      </c>
      <c r="K21" s="16">
        <v>1592</v>
      </c>
      <c r="L21" s="16">
        <v>10296</v>
      </c>
      <c r="M21" s="16">
        <v>4648</v>
      </c>
      <c r="N21" s="16">
        <v>965</v>
      </c>
      <c r="O21" s="16">
        <v>5613</v>
      </c>
      <c r="P21" s="16">
        <v>3527</v>
      </c>
      <c r="Q21" s="16">
        <v>1835</v>
      </c>
      <c r="R21" s="16">
        <v>5362</v>
      </c>
      <c r="S21" s="16">
        <v>405</v>
      </c>
      <c r="T21" s="16">
        <v>27</v>
      </c>
      <c r="U21" s="16">
        <v>432</v>
      </c>
    </row>
    <row r="22" spans="1:21" ht="14.25" customHeight="1">
      <c r="A22" s="2">
        <v>18</v>
      </c>
      <c r="B22" s="3">
        <v>52</v>
      </c>
      <c r="C22" s="4" t="s">
        <v>35</v>
      </c>
      <c r="D22" s="16">
        <v>1930</v>
      </c>
      <c r="E22" s="16">
        <v>4967</v>
      </c>
      <c r="F22" s="16">
        <v>6897</v>
      </c>
      <c r="G22" s="16">
        <v>40394</v>
      </c>
      <c r="H22" s="16">
        <v>3428</v>
      </c>
      <c r="I22" s="16">
        <v>43822</v>
      </c>
      <c r="J22" s="16">
        <v>17700</v>
      </c>
      <c r="K22" s="16">
        <v>4600</v>
      </c>
      <c r="L22" s="16">
        <v>22300</v>
      </c>
      <c r="M22" s="16">
        <v>7803</v>
      </c>
      <c r="N22" s="16">
        <v>2278</v>
      </c>
      <c r="O22" s="16">
        <v>10081</v>
      </c>
      <c r="P22" s="16">
        <v>5659</v>
      </c>
      <c r="Q22" s="16">
        <v>2525</v>
      </c>
      <c r="R22" s="16">
        <v>8184</v>
      </c>
      <c r="S22" s="16">
        <v>502</v>
      </c>
      <c r="T22" s="16">
        <v>307</v>
      </c>
      <c r="U22" s="16">
        <v>809</v>
      </c>
    </row>
    <row r="23" spans="1:21" ht="14.25" customHeight="1">
      <c r="A23" s="2">
        <v>19</v>
      </c>
      <c r="B23" s="3">
        <v>53</v>
      </c>
      <c r="C23" s="4" t="s">
        <v>36</v>
      </c>
      <c r="D23" s="16">
        <v>1208</v>
      </c>
      <c r="E23" s="16">
        <v>2118</v>
      </c>
      <c r="F23" s="16">
        <v>3326</v>
      </c>
      <c r="G23" s="16">
        <v>36003</v>
      </c>
      <c r="H23" s="16">
        <v>14767</v>
      </c>
      <c r="I23" s="16">
        <v>50770</v>
      </c>
      <c r="J23" s="16">
        <v>25152</v>
      </c>
      <c r="K23" s="16">
        <v>5396</v>
      </c>
      <c r="L23" s="16">
        <v>30548</v>
      </c>
      <c r="M23" s="16">
        <v>12299</v>
      </c>
      <c r="N23" s="16">
        <v>4127</v>
      </c>
      <c r="O23" s="16">
        <v>16426</v>
      </c>
      <c r="P23" s="16">
        <v>6169</v>
      </c>
      <c r="Q23" s="16">
        <v>2785</v>
      </c>
      <c r="R23" s="16">
        <v>8954</v>
      </c>
      <c r="S23" s="16">
        <v>607</v>
      </c>
      <c r="T23" s="16">
        <v>103</v>
      </c>
      <c r="U23" s="16">
        <v>710</v>
      </c>
    </row>
    <row r="24" spans="1:21" ht="14.25" customHeight="1">
      <c r="A24" s="2">
        <v>20</v>
      </c>
      <c r="B24" s="3">
        <v>61</v>
      </c>
      <c r="C24" s="4" t="s">
        <v>25</v>
      </c>
      <c r="D24" s="16">
        <v>678</v>
      </c>
      <c r="E24" s="16">
        <v>1863</v>
      </c>
      <c r="F24" s="16">
        <v>2541</v>
      </c>
      <c r="G24" s="16">
        <v>32877</v>
      </c>
      <c r="H24" s="16">
        <v>3299</v>
      </c>
      <c r="I24" s="16">
        <v>36176</v>
      </c>
      <c r="J24" s="16">
        <v>13183</v>
      </c>
      <c r="K24" s="16">
        <v>2416</v>
      </c>
      <c r="L24" s="16">
        <v>15599</v>
      </c>
      <c r="M24" s="16">
        <v>6684</v>
      </c>
      <c r="N24" s="16">
        <v>1726</v>
      </c>
      <c r="O24" s="16">
        <v>8410</v>
      </c>
      <c r="P24" s="16">
        <v>3620</v>
      </c>
      <c r="Q24" s="16">
        <v>996</v>
      </c>
      <c r="R24" s="16">
        <v>4616</v>
      </c>
      <c r="S24" s="16">
        <v>161</v>
      </c>
      <c r="T24" s="16">
        <v>112</v>
      </c>
      <c r="U24" s="16">
        <v>273</v>
      </c>
    </row>
    <row r="25" spans="1:21" ht="14.25" customHeight="1">
      <c r="A25" s="2">
        <v>21</v>
      </c>
      <c r="B25" s="3">
        <v>62</v>
      </c>
      <c r="C25" s="4" t="s">
        <v>26</v>
      </c>
      <c r="D25" s="16">
        <v>697</v>
      </c>
      <c r="E25" s="16">
        <v>2699</v>
      </c>
      <c r="F25" s="16">
        <v>3396</v>
      </c>
      <c r="G25" s="16">
        <v>21114</v>
      </c>
      <c r="H25" s="16">
        <v>2471</v>
      </c>
      <c r="I25" s="16">
        <v>23585</v>
      </c>
      <c r="J25" s="16">
        <v>8497</v>
      </c>
      <c r="K25" s="16">
        <v>1284</v>
      </c>
      <c r="L25" s="16">
        <v>9781</v>
      </c>
      <c r="M25" s="16">
        <v>4339</v>
      </c>
      <c r="N25" s="16">
        <v>659</v>
      </c>
      <c r="O25" s="16">
        <v>4998</v>
      </c>
      <c r="P25" s="16">
        <v>2467</v>
      </c>
      <c r="Q25" s="16">
        <v>506</v>
      </c>
      <c r="R25" s="16">
        <v>2973</v>
      </c>
      <c r="S25" s="16">
        <v>363</v>
      </c>
      <c r="T25" s="16">
        <v>39</v>
      </c>
      <c r="U25" s="16">
        <v>402</v>
      </c>
    </row>
    <row r="26" spans="1:21" ht="14.25" customHeight="1">
      <c r="A26" s="2">
        <v>22</v>
      </c>
      <c r="B26" s="3">
        <v>63</v>
      </c>
      <c r="C26" s="4" t="s">
        <v>27</v>
      </c>
      <c r="D26" s="16">
        <v>1640</v>
      </c>
      <c r="E26" s="16">
        <v>4552</v>
      </c>
      <c r="F26" s="16">
        <v>6192</v>
      </c>
      <c r="G26" s="16">
        <v>24640</v>
      </c>
      <c r="H26" s="16">
        <v>2216</v>
      </c>
      <c r="I26" s="16">
        <v>26856</v>
      </c>
      <c r="J26" s="16">
        <v>7891</v>
      </c>
      <c r="K26" s="16">
        <v>1094</v>
      </c>
      <c r="L26" s="16">
        <v>8985</v>
      </c>
      <c r="M26" s="16">
        <v>4218</v>
      </c>
      <c r="N26" s="16">
        <v>731</v>
      </c>
      <c r="O26" s="16">
        <v>4949</v>
      </c>
      <c r="P26" s="16">
        <v>3048</v>
      </c>
      <c r="Q26" s="16">
        <v>998</v>
      </c>
      <c r="R26" s="16">
        <v>4046</v>
      </c>
      <c r="S26" s="16">
        <v>688</v>
      </c>
      <c r="T26" s="16">
        <v>47</v>
      </c>
      <c r="U26" s="16">
        <v>735</v>
      </c>
    </row>
    <row r="27" spans="1:21" ht="14.25" customHeight="1">
      <c r="A27" s="2">
        <v>23</v>
      </c>
      <c r="B27" s="3">
        <v>64</v>
      </c>
      <c r="C27" s="4" t="s">
        <v>28</v>
      </c>
      <c r="D27" s="16">
        <v>739</v>
      </c>
      <c r="E27" s="16">
        <v>3334</v>
      </c>
      <c r="F27" s="16">
        <v>4073</v>
      </c>
      <c r="G27" s="16">
        <v>21579</v>
      </c>
      <c r="H27" s="16">
        <v>3816</v>
      </c>
      <c r="I27" s="16">
        <v>25395</v>
      </c>
      <c r="J27" s="16">
        <v>8667</v>
      </c>
      <c r="K27" s="16">
        <v>2162</v>
      </c>
      <c r="L27" s="16">
        <v>10829</v>
      </c>
      <c r="M27" s="16">
        <v>4451</v>
      </c>
      <c r="N27" s="16">
        <v>1074</v>
      </c>
      <c r="O27" s="16">
        <v>5525</v>
      </c>
      <c r="P27" s="16">
        <v>3529</v>
      </c>
      <c r="Q27" s="16">
        <v>1679</v>
      </c>
      <c r="R27" s="16">
        <v>5208</v>
      </c>
      <c r="S27" s="16">
        <v>295</v>
      </c>
      <c r="T27" s="16">
        <v>160</v>
      </c>
      <c r="U27" s="16">
        <v>455</v>
      </c>
    </row>
    <row r="28" spans="1:21" ht="14.25" customHeight="1">
      <c r="A28" s="2">
        <v>24</v>
      </c>
      <c r="B28" s="3">
        <v>65</v>
      </c>
      <c r="C28" s="4" t="s">
        <v>44</v>
      </c>
      <c r="D28" s="16">
        <v>151</v>
      </c>
      <c r="E28" s="16">
        <v>460</v>
      </c>
      <c r="F28" s="16">
        <v>611</v>
      </c>
      <c r="G28" s="16">
        <v>5014</v>
      </c>
      <c r="H28" s="16">
        <v>623</v>
      </c>
      <c r="I28" s="16">
        <v>5637</v>
      </c>
      <c r="J28" s="16">
        <v>2406</v>
      </c>
      <c r="K28" s="16">
        <v>350</v>
      </c>
      <c r="L28" s="16">
        <v>2756</v>
      </c>
      <c r="M28" s="16">
        <v>1188</v>
      </c>
      <c r="N28" s="16">
        <v>252</v>
      </c>
      <c r="O28" s="16">
        <v>1440</v>
      </c>
      <c r="P28" s="16">
        <v>751</v>
      </c>
      <c r="Q28" s="16">
        <v>128</v>
      </c>
      <c r="R28" s="16">
        <v>879</v>
      </c>
      <c r="S28" s="16">
        <v>92</v>
      </c>
      <c r="T28" s="16">
        <v>4</v>
      </c>
      <c r="U28" s="16">
        <v>96</v>
      </c>
    </row>
    <row r="29" spans="1:21" ht="14.25" customHeight="1">
      <c r="A29" s="2">
        <v>25</v>
      </c>
      <c r="B29" s="3">
        <v>71</v>
      </c>
      <c r="C29" s="4" t="s">
        <v>29</v>
      </c>
      <c r="D29" s="16">
        <v>483</v>
      </c>
      <c r="E29" s="16">
        <v>1231</v>
      </c>
      <c r="F29" s="16">
        <v>1714</v>
      </c>
      <c r="G29" s="16">
        <v>12988</v>
      </c>
      <c r="H29" s="16">
        <v>4702</v>
      </c>
      <c r="I29" s="16">
        <v>17690</v>
      </c>
      <c r="J29" s="16">
        <v>7777</v>
      </c>
      <c r="K29" s="16">
        <v>1564</v>
      </c>
      <c r="L29" s="16">
        <v>9341</v>
      </c>
      <c r="M29" s="16">
        <v>3438</v>
      </c>
      <c r="N29" s="16">
        <v>808</v>
      </c>
      <c r="O29" s="16">
        <v>4246</v>
      </c>
      <c r="P29" s="16">
        <v>2949</v>
      </c>
      <c r="Q29" s="16">
        <v>821</v>
      </c>
      <c r="R29" s="16">
        <v>3770</v>
      </c>
      <c r="S29" s="16">
        <v>86</v>
      </c>
      <c r="T29" s="16">
        <v>154</v>
      </c>
      <c r="U29" s="16">
        <v>240</v>
      </c>
    </row>
    <row r="30" spans="1:21" ht="14.25" customHeight="1">
      <c r="A30" s="2">
        <v>26</v>
      </c>
      <c r="B30" s="3">
        <v>72</v>
      </c>
      <c r="C30" s="4" t="s">
        <v>30</v>
      </c>
      <c r="D30" s="16">
        <v>1103</v>
      </c>
      <c r="E30" s="16">
        <v>2605</v>
      </c>
      <c r="F30" s="16">
        <v>3708</v>
      </c>
      <c r="G30" s="16">
        <v>24043</v>
      </c>
      <c r="H30" s="16">
        <v>1814</v>
      </c>
      <c r="I30" s="16">
        <v>25857</v>
      </c>
      <c r="J30" s="16">
        <v>10466</v>
      </c>
      <c r="K30" s="16">
        <v>868</v>
      </c>
      <c r="L30" s="16">
        <v>11334</v>
      </c>
      <c r="M30" s="16">
        <v>5116</v>
      </c>
      <c r="N30" s="16">
        <v>587</v>
      </c>
      <c r="O30" s="16">
        <v>5703</v>
      </c>
      <c r="P30" s="16">
        <v>3143</v>
      </c>
      <c r="Q30" s="16">
        <v>736</v>
      </c>
      <c r="R30" s="16">
        <v>3879</v>
      </c>
      <c r="S30" s="16">
        <v>186</v>
      </c>
      <c r="T30" s="16">
        <v>102</v>
      </c>
      <c r="U30" s="16">
        <v>288</v>
      </c>
    </row>
    <row r="31" spans="1:21" ht="14.25" customHeight="1">
      <c r="A31" s="2">
        <v>27</v>
      </c>
      <c r="B31" s="3">
        <v>73</v>
      </c>
      <c r="C31" s="4" t="s">
        <v>31</v>
      </c>
      <c r="D31" s="16">
        <v>1744</v>
      </c>
      <c r="E31" s="16">
        <v>8510</v>
      </c>
      <c r="F31" s="16">
        <v>10254</v>
      </c>
      <c r="G31" s="16">
        <v>59829</v>
      </c>
      <c r="H31" s="16">
        <v>5258</v>
      </c>
      <c r="I31" s="16">
        <v>65087</v>
      </c>
      <c r="J31" s="16">
        <v>23736</v>
      </c>
      <c r="K31" s="16">
        <v>4148</v>
      </c>
      <c r="L31" s="16">
        <v>27884</v>
      </c>
      <c r="M31" s="16">
        <v>12625</v>
      </c>
      <c r="N31" s="16">
        <v>2759</v>
      </c>
      <c r="O31" s="16">
        <v>15384</v>
      </c>
      <c r="P31" s="16">
        <v>7435</v>
      </c>
      <c r="Q31" s="16">
        <v>2366</v>
      </c>
      <c r="R31" s="16">
        <v>9801</v>
      </c>
      <c r="S31" s="16">
        <v>508</v>
      </c>
      <c r="T31" s="16">
        <v>523</v>
      </c>
      <c r="U31" s="16">
        <v>1031</v>
      </c>
    </row>
    <row r="32" spans="1:21" ht="14.25" customHeight="1">
      <c r="A32" s="2">
        <v>28</v>
      </c>
      <c r="B32" s="3">
        <v>74</v>
      </c>
      <c r="C32" s="4" t="s">
        <v>32</v>
      </c>
      <c r="D32" s="16">
        <v>1937</v>
      </c>
      <c r="E32" s="16">
        <v>2666</v>
      </c>
      <c r="F32" s="16">
        <v>4603</v>
      </c>
      <c r="G32" s="16">
        <v>26117</v>
      </c>
      <c r="H32" s="16">
        <v>928</v>
      </c>
      <c r="I32" s="16">
        <v>27045</v>
      </c>
      <c r="J32" s="16">
        <v>13194</v>
      </c>
      <c r="K32" s="16">
        <v>735</v>
      </c>
      <c r="L32" s="16">
        <v>13929</v>
      </c>
      <c r="M32" s="16">
        <v>8441</v>
      </c>
      <c r="N32" s="16">
        <v>518</v>
      </c>
      <c r="O32" s="16">
        <v>8959</v>
      </c>
      <c r="P32" s="16">
        <v>3764</v>
      </c>
      <c r="Q32" s="16">
        <v>669</v>
      </c>
      <c r="R32" s="16">
        <v>4433</v>
      </c>
      <c r="S32" s="16">
        <v>205</v>
      </c>
      <c r="T32" s="16">
        <v>398</v>
      </c>
      <c r="U32" s="16">
        <v>603</v>
      </c>
    </row>
    <row r="33" spans="1:21" ht="14.25" customHeight="1">
      <c r="A33" s="2">
        <v>29</v>
      </c>
      <c r="B33" s="3">
        <v>75</v>
      </c>
      <c r="C33" s="4" t="s">
        <v>41</v>
      </c>
      <c r="D33" s="16">
        <v>1117</v>
      </c>
      <c r="E33" s="16">
        <v>584</v>
      </c>
      <c r="F33" s="16">
        <v>1701</v>
      </c>
      <c r="G33" s="16">
        <v>7524</v>
      </c>
      <c r="H33" s="16">
        <v>363</v>
      </c>
      <c r="I33" s="16">
        <v>7887</v>
      </c>
      <c r="J33" s="16">
        <v>3859</v>
      </c>
      <c r="K33" s="16">
        <v>241</v>
      </c>
      <c r="L33" s="16">
        <v>4100</v>
      </c>
      <c r="M33" s="16">
        <v>1814</v>
      </c>
      <c r="N33" s="16">
        <v>113</v>
      </c>
      <c r="O33" s="16">
        <v>1927</v>
      </c>
      <c r="P33" s="16">
        <v>1373</v>
      </c>
      <c r="Q33" s="16">
        <v>258</v>
      </c>
      <c r="R33" s="16">
        <v>1631</v>
      </c>
      <c r="S33" s="16">
        <v>184</v>
      </c>
      <c r="T33" s="16">
        <v>0</v>
      </c>
      <c r="U33" s="16">
        <v>184</v>
      </c>
    </row>
    <row r="34" spans="1:21" ht="14.25" customHeight="1">
      <c r="A34" s="2">
        <v>30</v>
      </c>
      <c r="B34" s="3">
        <v>76</v>
      </c>
      <c r="C34" s="4" t="s">
        <v>43</v>
      </c>
      <c r="D34" s="16">
        <v>578</v>
      </c>
      <c r="E34" s="16">
        <v>849</v>
      </c>
      <c r="F34" s="16">
        <v>1427</v>
      </c>
      <c r="G34" s="16">
        <v>13216</v>
      </c>
      <c r="H34" s="16">
        <v>299</v>
      </c>
      <c r="I34" s="16">
        <v>13515</v>
      </c>
      <c r="J34" s="16">
        <v>5055</v>
      </c>
      <c r="K34" s="16">
        <v>438</v>
      </c>
      <c r="L34" s="16">
        <v>5493</v>
      </c>
      <c r="M34" s="16">
        <v>2288</v>
      </c>
      <c r="N34" s="16">
        <v>94</v>
      </c>
      <c r="O34" s="16">
        <v>2382</v>
      </c>
      <c r="P34" s="16">
        <v>1889</v>
      </c>
      <c r="Q34" s="16">
        <v>508</v>
      </c>
      <c r="R34" s="16">
        <v>2397</v>
      </c>
      <c r="S34" s="16">
        <v>199</v>
      </c>
      <c r="T34" s="16">
        <v>54</v>
      </c>
      <c r="U34" s="16">
        <v>253</v>
      </c>
    </row>
    <row r="35" spans="1:21" ht="14.25" customHeight="1">
      <c r="A35" s="2">
        <v>31</v>
      </c>
      <c r="B35" s="3">
        <v>81</v>
      </c>
      <c r="C35" s="4" t="s">
        <v>33</v>
      </c>
      <c r="D35" s="16">
        <v>472</v>
      </c>
      <c r="E35" s="16">
        <v>818</v>
      </c>
      <c r="F35" s="16">
        <v>1290</v>
      </c>
      <c r="G35" s="16">
        <v>13100</v>
      </c>
      <c r="H35" s="16">
        <v>2762</v>
      </c>
      <c r="I35" s="16">
        <v>15862</v>
      </c>
      <c r="J35" s="16">
        <v>9376</v>
      </c>
      <c r="K35" s="16">
        <v>1065</v>
      </c>
      <c r="L35" s="16">
        <v>10441</v>
      </c>
      <c r="M35" s="16">
        <v>5332</v>
      </c>
      <c r="N35" s="16">
        <v>1000</v>
      </c>
      <c r="O35" s="16">
        <v>6332</v>
      </c>
      <c r="P35" s="16">
        <v>2155</v>
      </c>
      <c r="Q35" s="16">
        <v>452</v>
      </c>
      <c r="R35" s="16">
        <v>2607</v>
      </c>
      <c r="S35" s="16">
        <v>128</v>
      </c>
      <c r="T35" s="16">
        <v>25</v>
      </c>
      <c r="U35" s="16">
        <v>153</v>
      </c>
    </row>
    <row r="36" spans="1:21" ht="14.25" customHeight="1">
      <c r="A36" s="2">
        <v>32</v>
      </c>
      <c r="B36" s="3">
        <v>82</v>
      </c>
      <c r="C36" s="4" t="s">
        <v>38</v>
      </c>
      <c r="D36" s="16">
        <v>592</v>
      </c>
      <c r="E36" s="16">
        <v>544</v>
      </c>
      <c r="F36" s="16">
        <v>1136</v>
      </c>
      <c r="G36" s="16">
        <v>10403</v>
      </c>
      <c r="H36" s="16">
        <v>985</v>
      </c>
      <c r="I36" s="16">
        <v>11388</v>
      </c>
      <c r="J36" s="16">
        <v>5704</v>
      </c>
      <c r="K36" s="16">
        <v>801</v>
      </c>
      <c r="L36" s="16">
        <v>6505</v>
      </c>
      <c r="M36" s="16">
        <v>3119</v>
      </c>
      <c r="N36" s="16">
        <v>577</v>
      </c>
      <c r="O36" s="16">
        <v>3696</v>
      </c>
      <c r="P36" s="16">
        <v>1230</v>
      </c>
      <c r="Q36" s="16">
        <v>579</v>
      </c>
      <c r="R36" s="16">
        <v>1809</v>
      </c>
      <c r="S36" s="16">
        <v>197</v>
      </c>
      <c r="T36" s="16">
        <v>56</v>
      </c>
      <c r="U36" s="16">
        <v>253</v>
      </c>
    </row>
    <row r="37" spans="1:21" ht="14.25" customHeight="1">
      <c r="A37" s="2">
        <v>33</v>
      </c>
      <c r="B37" s="3">
        <v>91</v>
      </c>
      <c r="C37" s="4" t="s">
        <v>45</v>
      </c>
      <c r="D37" s="16">
        <v>77</v>
      </c>
      <c r="E37" s="16">
        <v>586</v>
      </c>
      <c r="F37" s="16">
        <v>663</v>
      </c>
      <c r="G37" s="16">
        <v>4099</v>
      </c>
      <c r="H37" s="16">
        <v>2071</v>
      </c>
      <c r="I37" s="16">
        <v>6170</v>
      </c>
      <c r="J37" s="16">
        <v>2806</v>
      </c>
      <c r="K37" s="16">
        <v>751</v>
      </c>
      <c r="L37" s="16">
        <v>3557</v>
      </c>
      <c r="M37" s="16">
        <v>1515</v>
      </c>
      <c r="N37" s="16">
        <v>690</v>
      </c>
      <c r="O37" s="16">
        <v>2205</v>
      </c>
      <c r="P37" s="16">
        <v>896</v>
      </c>
      <c r="Q37" s="16">
        <v>267</v>
      </c>
      <c r="R37" s="16">
        <v>1163</v>
      </c>
      <c r="S37" s="16">
        <v>50</v>
      </c>
      <c r="T37" s="16">
        <v>10</v>
      </c>
      <c r="U37" s="16">
        <v>60</v>
      </c>
    </row>
    <row r="38" spans="1:21" ht="14.25" customHeight="1">
      <c r="A38" s="2">
        <v>34</v>
      </c>
      <c r="B38" s="3">
        <v>92</v>
      </c>
      <c r="C38" s="4" t="s">
        <v>46</v>
      </c>
      <c r="D38" s="16">
        <v>132</v>
      </c>
      <c r="E38" s="16">
        <v>365</v>
      </c>
      <c r="F38" s="16">
        <v>497</v>
      </c>
      <c r="G38" s="16">
        <v>3681</v>
      </c>
      <c r="H38" s="16">
        <v>1145</v>
      </c>
      <c r="I38" s="16">
        <v>4826</v>
      </c>
      <c r="J38" s="16">
        <v>1820</v>
      </c>
      <c r="K38" s="16">
        <v>452</v>
      </c>
      <c r="L38" s="16">
        <v>2272</v>
      </c>
      <c r="M38" s="16">
        <v>1026</v>
      </c>
      <c r="N38" s="16">
        <v>298</v>
      </c>
      <c r="O38" s="16">
        <v>1324</v>
      </c>
      <c r="P38" s="16">
        <v>519</v>
      </c>
      <c r="Q38" s="16">
        <v>88</v>
      </c>
      <c r="R38" s="16">
        <v>607</v>
      </c>
      <c r="S38" s="16">
        <v>9</v>
      </c>
      <c r="T38" s="16">
        <v>0</v>
      </c>
      <c r="U38" s="16">
        <v>9</v>
      </c>
    </row>
    <row r="39" spans="1:21" ht="14.25" customHeight="1">
      <c r="A39" s="2">
        <v>35</v>
      </c>
      <c r="B39" s="3">
        <v>93</v>
      </c>
      <c r="C39" s="4" t="s">
        <v>49</v>
      </c>
      <c r="D39" s="16">
        <v>156</v>
      </c>
      <c r="E39" s="16">
        <v>291</v>
      </c>
      <c r="F39" s="16">
        <v>447</v>
      </c>
      <c r="G39" s="16">
        <v>2437</v>
      </c>
      <c r="H39" s="16">
        <v>1151</v>
      </c>
      <c r="I39" s="16">
        <v>3588</v>
      </c>
      <c r="J39" s="16">
        <v>1519</v>
      </c>
      <c r="K39" s="16">
        <v>380</v>
      </c>
      <c r="L39" s="16">
        <v>1899</v>
      </c>
      <c r="M39" s="16">
        <v>681</v>
      </c>
      <c r="N39" s="16">
        <v>197</v>
      </c>
      <c r="O39" s="16">
        <v>878</v>
      </c>
      <c r="P39" s="16">
        <v>582</v>
      </c>
      <c r="Q39" s="16">
        <v>53</v>
      </c>
      <c r="R39" s="16">
        <v>635</v>
      </c>
      <c r="S39" s="16">
        <v>20</v>
      </c>
      <c r="T39" s="16">
        <v>2</v>
      </c>
      <c r="U39" s="16">
        <v>22</v>
      </c>
    </row>
    <row r="40" spans="1:21" ht="14.25" customHeight="1">
      <c r="A40" s="2">
        <v>36</v>
      </c>
      <c r="B40" s="3">
        <v>94</v>
      </c>
      <c r="C40" s="4" t="s">
        <v>50</v>
      </c>
      <c r="D40" s="16">
        <v>141</v>
      </c>
      <c r="E40" s="16">
        <v>429</v>
      </c>
      <c r="F40" s="16">
        <v>570</v>
      </c>
      <c r="G40" s="16">
        <v>2625</v>
      </c>
      <c r="H40" s="16">
        <v>1623</v>
      </c>
      <c r="I40" s="16">
        <v>4248</v>
      </c>
      <c r="J40" s="16">
        <v>1613</v>
      </c>
      <c r="K40" s="16">
        <v>625</v>
      </c>
      <c r="L40" s="16">
        <v>2238</v>
      </c>
      <c r="M40" s="16">
        <v>741</v>
      </c>
      <c r="N40" s="16">
        <v>327</v>
      </c>
      <c r="O40" s="16">
        <v>1068</v>
      </c>
      <c r="P40" s="16">
        <v>492</v>
      </c>
      <c r="Q40" s="16">
        <v>371</v>
      </c>
      <c r="R40" s="16">
        <v>863</v>
      </c>
      <c r="S40" s="16">
        <v>12</v>
      </c>
      <c r="T40" s="16">
        <v>15</v>
      </c>
      <c r="U40" s="16">
        <v>27</v>
      </c>
    </row>
    <row r="41" spans="1:21" ht="14.25" customHeight="1">
      <c r="A41" s="2">
        <v>37</v>
      </c>
      <c r="B41" s="3">
        <v>95</v>
      </c>
      <c r="C41" s="4" t="s">
        <v>48</v>
      </c>
      <c r="D41" s="16">
        <v>53</v>
      </c>
      <c r="E41" s="16">
        <v>135</v>
      </c>
      <c r="F41" s="16">
        <v>188</v>
      </c>
      <c r="G41" s="16">
        <v>2144</v>
      </c>
      <c r="H41" s="16">
        <v>665</v>
      </c>
      <c r="I41" s="16">
        <v>2809</v>
      </c>
      <c r="J41" s="16">
        <v>1297</v>
      </c>
      <c r="K41" s="16">
        <v>286</v>
      </c>
      <c r="L41" s="16">
        <v>1583</v>
      </c>
      <c r="M41" s="16">
        <v>594</v>
      </c>
      <c r="N41" s="16">
        <v>221</v>
      </c>
      <c r="O41" s="16">
        <v>815</v>
      </c>
      <c r="P41" s="16">
        <v>130</v>
      </c>
      <c r="Q41" s="16">
        <v>108</v>
      </c>
      <c r="R41" s="16">
        <v>238</v>
      </c>
      <c r="S41" s="16">
        <v>0</v>
      </c>
      <c r="T41" s="16">
        <v>0</v>
      </c>
      <c r="U41" s="16">
        <v>0</v>
      </c>
    </row>
    <row r="42" spans="1:21" ht="14.25" customHeight="1">
      <c r="A42" s="2">
        <v>38</v>
      </c>
      <c r="B42" s="3">
        <v>96</v>
      </c>
      <c r="C42" s="4" t="s">
        <v>47</v>
      </c>
      <c r="D42" s="16">
        <v>77</v>
      </c>
      <c r="E42" s="16">
        <v>227</v>
      </c>
      <c r="F42" s="16">
        <v>304</v>
      </c>
      <c r="G42" s="16">
        <v>3400</v>
      </c>
      <c r="H42" s="16">
        <v>1308</v>
      </c>
      <c r="I42" s="16">
        <v>4708</v>
      </c>
      <c r="J42" s="16">
        <v>1905</v>
      </c>
      <c r="K42" s="16">
        <v>458</v>
      </c>
      <c r="L42" s="16">
        <v>2363</v>
      </c>
      <c r="M42" s="16">
        <v>1071</v>
      </c>
      <c r="N42" s="16">
        <v>330</v>
      </c>
      <c r="O42" s="16">
        <v>1401</v>
      </c>
      <c r="P42" s="16">
        <v>549</v>
      </c>
      <c r="Q42" s="16">
        <v>225</v>
      </c>
      <c r="R42" s="16">
        <v>774</v>
      </c>
      <c r="S42" s="16">
        <v>43</v>
      </c>
      <c r="T42" s="16">
        <v>0</v>
      </c>
      <c r="U42" s="16">
        <v>43</v>
      </c>
    </row>
    <row r="43" spans="1:21" ht="14.25" customHeight="1">
      <c r="A43" s="5">
        <v>39</v>
      </c>
      <c r="B43" s="6"/>
      <c r="C43" s="7" t="s">
        <v>51</v>
      </c>
      <c r="D43" s="16">
        <v>9</v>
      </c>
      <c r="E43" s="16">
        <v>2</v>
      </c>
      <c r="F43" s="16">
        <v>11</v>
      </c>
      <c r="G43" s="16">
        <v>303</v>
      </c>
      <c r="H43" s="16">
        <v>85</v>
      </c>
      <c r="I43" s="16">
        <v>388</v>
      </c>
      <c r="J43" s="16">
        <v>164</v>
      </c>
      <c r="K43" s="16">
        <v>40</v>
      </c>
      <c r="L43" s="16">
        <v>204</v>
      </c>
      <c r="M43" s="16">
        <v>89</v>
      </c>
      <c r="N43" s="16">
        <v>15</v>
      </c>
      <c r="O43" s="16">
        <v>104</v>
      </c>
      <c r="P43" s="16">
        <v>6</v>
      </c>
      <c r="Q43" s="16">
        <v>0</v>
      </c>
      <c r="R43" s="16">
        <v>6</v>
      </c>
      <c r="S43" s="16">
        <v>0</v>
      </c>
      <c r="T43" s="16">
        <v>0</v>
      </c>
      <c r="U43" s="16">
        <v>0</v>
      </c>
    </row>
    <row r="44" spans="1:21" ht="14.25" customHeight="1">
      <c r="A44" s="22"/>
      <c r="B44" s="21"/>
      <c r="C44" s="4" t="s">
        <v>52</v>
      </c>
      <c r="D44" s="16">
        <f t="shared" ref="D44:O44" si="0">SUM(D5:D43)</f>
        <v>30602</v>
      </c>
      <c r="E44" s="16">
        <f t="shared" si="0"/>
        <v>190421</v>
      </c>
      <c r="F44" s="16">
        <f t="shared" si="0"/>
        <v>221023</v>
      </c>
      <c r="G44" s="16">
        <v>1256882</v>
      </c>
      <c r="H44" s="16">
        <v>222169</v>
      </c>
      <c r="I44" s="16">
        <v>1479051</v>
      </c>
      <c r="J44" s="16">
        <f t="shared" si="0"/>
        <v>495392</v>
      </c>
      <c r="K44" s="16">
        <f t="shared" si="0"/>
        <v>175550</v>
      </c>
      <c r="L44" s="16">
        <f t="shared" si="0"/>
        <v>670942</v>
      </c>
      <c r="M44" s="16">
        <f t="shared" si="0"/>
        <v>251934</v>
      </c>
      <c r="N44" s="16">
        <f t="shared" si="0"/>
        <v>92274</v>
      </c>
      <c r="O44" s="16">
        <f t="shared" si="0"/>
        <v>344208</v>
      </c>
      <c r="P44" s="16">
        <v>170338</v>
      </c>
      <c r="Q44" s="16">
        <v>150178</v>
      </c>
      <c r="R44" s="16">
        <v>320516</v>
      </c>
      <c r="S44" s="16">
        <f t="shared" ref="S44:U44" si="1">SUM(S5:S43)</f>
        <v>14353</v>
      </c>
      <c r="T44" s="16">
        <f t="shared" si="1"/>
        <v>13183</v>
      </c>
      <c r="U44" s="16">
        <f t="shared" si="1"/>
        <v>27536</v>
      </c>
    </row>
    <row r="45" spans="1:21" ht="14.25" customHeight="1"/>
    <row r="46" spans="1:21" ht="14.25" customHeight="1"/>
    <row r="47" spans="1:21" ht="14.25" customHeight="1"/>
    <row r="48" spans="1:2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sortState xmlns:xlrd2="http://schemas.microsoft.com/office/spreadsheetml/2017/richdata2" ref="B5:U42">
    <sortCondition ref="B5:B42"/>
  </sortState>
  <mergeCells count="10">
    <mergeCell ref="J3:L3"/>
    <mergeCell ref="M3:O3"/>
    <mergeCell ref="A44:B44"/>
    <mergeCell ref="P3:R3"/>
    <mergeCell ref="S3:U3"/>
    <mergeCell ref="D3:F3"/>
    <mergeCell ref="G3:I3"/>
    <mergeCell ref="A3:A4"/>
    <mergeCell ref="B3:B4"/>
    <mergeCell ref="C3:C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workbookViewId="0">
      <selection activeCell="B24" sqref="B24"/>
    </sheetView>
  </sheetViews>
  <sheetFormatPr defaultColWidth="14.42578125" defaultRowHeight="15" customHeight="1"/>
  <cols>
    <col min="1" max="1" width="20.5703125" customWidth="1"/>
    <col min="2" max="2" width="83.140625" customWidth="1"/>
    <col min="3" max="26" width="8.7109375" customWidth="1"/>
  </cols>
  <sheetData>
    <row r="1" spans="1:2" ht="14.25" customHeight="1"/>
    <row r="2" spans="1:2" ht="14.25" customHeight="1">
      <c r="A2" s="28" t="s">
        <v>53</v>
      </c>
      <c r="B2" s="31" t="s">
        <v>71</v>
      </c>
    </row>
    <row r="3" spans="1:2" ht="14.25" customHeight="1">
      <c r="A3" s="29"/>
      <c r="B3" s="29"/>
    </row>
    <row r="4" spans="1:2" ht="14.25" customHeight="1">
      <c r="A4" s="30"/>
      <c r="B4" s="30"/>
    </row>
    <row r="5" spans="1:2" ht="30">
      <c r="A5" s="8" t="s">
        <v>54</v>
      </c>
      <c r="B5" s="17" t="s">
        <v>73</v>
      </c>
    </row>
    <row r="6" spans="1:2" ht="30">
      <c r="A6" s="8" t="s">
        <v>55</v>
      </c>
      <c r="B6" s="18" t="s">
        <v>72</v>
      </c>
    </row>
    <row r="7" spans="1:2" ht="14.25" customHeight="1">
      <c r="A7" s="8" t="s">
        <v>56</v>
      </c>
      <c r="B7" s="10" t="s">
        <v>57</v>
      </c>
    </row>
    <row r="8" spans="1:2" ht="30">
      <c r="A8" s="8" t="s">
        <v>58</v>
      </c>
      <c r="B8" s="11" t="s">
        <v>59</v>
      </c>
    </row>
    <row r="9" spans="1:2" ht="14.25" customHeight="1">
      <c r="A9" s="8" t="s">
        <v>60</v>
      </c>
      <c r="B9" s="9" t="s">
        <v>61</v>
      </c>
    </row>
    <row r="10" spans="1:2" ht="14.25" customHeight="1">
      <c r="A10" s="8" t="s">
        <v>62</v>
      </c>
      <c r="B10" s="12" t="s">
        <v>12</v>
      </c>
    </row>
    <row r="11" spans="1:2" ht="14.25" customHeight="1">
      <c r="A11" s="8" t="s">
        <v>63</v>
      </c>
      <c r="B11" s="9" t="s">
        <v>64</v>
      </c>
    </row>
    <row r="12" spans="1:2" ht="30">
      <c r="A12" s="8" t="s">
        <v>65</v>
      </c>
      <c r="B12" s="13" t="s">
        <v>69</v>
      </c>
    </row>
    <row r="13" spans="1:2" ht="14.25" customHeight="1">
      <c r="A13" s="14" t="s">
        <v>70</v>
      </c>
      <c r="B13" s="12" t="s">
        <v>3</v>
      </c>
    </row>
    <row r="14" spans="1:2" ht="14.25" customHeight="1">
      <c r="A14" s="32" t="s">
        <v>66</v>
      </c>
      <c r="B14" s="12" t="s">
        <v>2</v>
      </c>
    </row>
    <row r="15" spans="1:2" ht="14.25" customHeight="1">
      <c r="A15" s="29"/>
      <c r="B15" s="12" t="s">
        <v>67</v>
      </c>
    </row>
    <row r="16" spans="1:2" ht="14.25" customHeight="1">
      <c r="A16" s="30"/>
      <c r="B16" s="12" t="s">
        <v>68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">
    <mergeCell ref="A2:A4"/>
    <mergeCell ref="B2:B4"/>
    <mergeCell ref="A14:A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2026-02-20T06:10:06Z</dcterms:modified>
</cp:coreProperties>
</file>