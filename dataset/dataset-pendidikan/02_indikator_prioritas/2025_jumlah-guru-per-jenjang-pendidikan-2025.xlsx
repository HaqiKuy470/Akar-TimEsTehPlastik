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22C466E7-37B7-42B9-9E6C-60A9427D365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OPaAvyulmduC6Hc30DAdfAtvGnI+j9wEzrjdie8Q4ZI="/>
    </ext>
  </extLst>
</workbook>
</file>

<file path=xl/calcChain.xml><?xml version="1.0" encoding="utf-8"?>
<calcChain xmlns="http://schemas.openxmlformats.org/spreadsheetml/2006/main">
  <c r="AP6" i="1" l="1"/>
  <c r="AQ6" i="1"/>
  <c r="AR6" i="1"/>
  <c r="AS6" i="1"/>
  <c r="AT6" i="1"/>
  <c r="AU6" i="1"/>
  <c r="AP7" i="1"/>
  <c r="AQ7" i="1"/>
  <c r="AR7" i="1"/>
  <c r="AS7" i="1"/>
  <c r="AT7" i="1"/>
  <c r="AU7" i="1"/>
  <c r="AP8" i="1"/>
  <c r="AQ8" i="1"/>
  <c r="AR8" i="1"/>
  <c r="AS8" i="1"/>
  <c r="AT8" i="1"/>
  <c r="AU8" i="1"/>
  <c r="AP9" i="1"/>
  <c r="AQ9" i="1"/>
  <c r="AR9" i="1"/>
  <c r="AS9" i="1"/>
  <c r="AT9" i="1"/>
  <c r="AU9" i="1"/>
  <c r="AP10" i="1"/>
  <c r="AQ10" i="1"/>
  <c r="AR10" i="1"/>
  <c r="AS10" i="1"/>
  <c r="AT10" i="1"/>
  <c r="AU10" i="1"/>
  <c r="AP11" i="1"/>
  <c r="AQ11" i="1"/>
  <c r="AR11" i="1"/>
  <c r="AS11" i="1"/>
  <c r="AT11" i="1"/>
  <c r="AU11" i="1"/>
  <c r="AP12" i="1"/>
  <c r="AQ12" i="1"/>
  <c r="AR12" i="1"/>
  <c r="AS12" i="1"/>
  <c r="AT12" i="1"/>
  <c r="AU12" i="1"/>
  <c r="AP13" i="1"/>
  <c r="AQ13" i="1"/>
  <c r="AR13" i="1"/>
  <c r="AS13" i="1"/>
  <c r="AT13" i="1"/>
  <c r="AU13" i="1"/>
  <c r="AP14" i="1"/>
  <c r="AQ14" i="1"/>
  <c r="AR14" i="1"/>
  <c r="AS14" i="1"/>
  <c r="AT14" i="1"/>
  <c r="AU14" i="1"/>
  <c r="AP15" i="1"/>
  <c r="AQ15" i="1"/>
  <c r="AR15" i="1"/>
  <c r="AS15" i="1"/>
  <c r="AT15" i="1"/>
  <c r="AU15" i="1"/>
  <c r="AP16" i="1"/>
  <c r="AQ16" i="1"/>
  <c r="AR16" i="1"/>
  <c r="AS16" i="1"/>
  <c r="AT16" i="1"/>
  <c r="AU16" i="1"/>
  <c r="AP17" i="1"/>
  <c r="AQ17" i="1"/>
  <c r="AR17" i="1"/>
  <c r="AS17" i="1"/>
  <c r="AT17" i="1"/>
  <c r="AU17" i="1"/>
  <c r="AP18" i="1"/>
  <c r="AQ18" i="1"/>
  <c r="AR18" i="1"/>
  <c r="AS18" i="1"/>
  <c r="AT18" i="1"/>
  <c r="AU18" i="1"/>
  <c r="AP19" i="1"/>
  <c r="AQ19" i="1"/>
  <c r="AR19" i="1"/>
  <c r="AS19" i="1"/>
  <c r="AT19" i="1"/>
  <c r="AU19" i="1"/>
  <c r="AP20" i="1"/>
  <c r="AQ20" i="1"/>
  <c r="AR20" i="1"/>
  <c r="AS20" i="1"/>
  <c r="AT20" i="1"/>
  <c r="AU20" i="1"/>
  <c r="AP21" i="1"/>
  <c r="AQ21" i="1"/>
  <c r="AR21" i="1"/>
  <c r="AS21" i="1"/>
  <c r="AT21" i="1"/>
  <c r="AU21" i="1"/>
  <c r="AP22" i="1"/>
  <c r="AQ22" i="1"/>
  <c r="AR22" i="1"/>
  <c r="AS22" i="1"/>
  <c r="AT22" i="1"/>
  <c r="AU22" i="1"/>
  <c r="AP23" i="1"/>
  <c r="AQ23" i="1"/>
  <c r="AR23" i="1"/>
  <c r="AS23" i="1"/>
  <c r="AT23" i="1"/>
  <c r="AU23" i="1"/>
  <c r="AP24" i="1"/>
  <c r="AQ24" i="1"/>
  <c r="AR24" i="1"/>
  <c r="AS24" i="1"/>
  <c r="AT24" i="1"/>
  <c r="AU24" i="1"/>
  <c r="AP25" i="1"/>
  <c r="AQ25" i="1"/>
  <c r="AR25" i="1"/>
  <c r="AS25" i="1"/>
  <c r="AT25" i="1"/>
  <c r="AU25" i="1"/>
  <c r="AP26" i="1"/>
  <c r="AQ26" i="1"/>
  <c r="AR26" i="1"/>
  <c r="AS26" i="1"/>
  <c r="AT26" i="1"/>
  <c r="AU26" i="1"/>
  <c r="AP27" i="1"/>
  <c r="AQ27" i="1"/>
  <c r="AR27" i="1"/>
  <c r="AS27" i="1"/>
  <c r="AT27" i="1"/>
  <c r="AU27" i="1"/>
  <c r="AP28" i="1"/>
  <c r="AQ28" i="1"/>
  <c r="AR28" i="1"/>
  <c r="AS28" i="1"/>
  <c r="AT28" i="1"/>
  <c r="AU28" i="1"/>
  <c r="AP29" i="1"/>
  <c r="AQ29" i="1"/>
  <c r="AR29" i="1"/>
  <c r="AS29" i="1"/>
  <c r="AT29" i="1"/>
  <c r="AU29" i="1"/>
  <c r="AP30" i="1"/>
  <c r="AQ30" i="1"/>
  <c r="AR30" i="1"/>
  <c r="AS30" i="1"/>
  <c r="AT30" i="1"/>
  <c r="AU30" i="1"/>
  <c r="AP31" i="1"/>
  <c r="AQ31" i="1"/>
  <c r="AR31" i="1"/>
  <c r="AS31" i="1"/>
  <c r="AT31" i="1"/>
  <c r="AU31" i="1"/>
  <c r="AP32" i="1"/>
  <c r="AQ32" i="1"/>
  <c r="AR32" i="1"/>
  <c r="AS32" i="1"/>
  <c r="AT32" i="1"/>
  <c r="AU32" i="1"/>
  <c r="AP33" i="1"/>
  <c r="AQ33" i="1"/>
  <c r="AR33" i="1"/>
  <c r="AS33" i="1"/>
  <c r="AT33" i="1"/>
  <c r="AU33" i="1"/>
  <c r="AP34" i="1"/>
  <c r="AQ34" i="1"/>
  <c r="AR34" i="1"/>
  <c r="AS34" i="1"/>
  <c r="AT34" i="1"/>
  <c r="AU34" i="1"/>
  <c r="AP35" i="1"/>
  <c r="AQ35" i="1"/>
  <c r="AR35" i="1"/>
  <c r="AS35" i="1"/>
  <c r="AT35" i="1"/>
  <c r="AU35" i="1"/>
  <c r="AP36" i="1"/>
  <c r="AQ36" i="1"/>
  <c r="AR36" i="1"/>
  <c r="AS36" i="1"/>
  <c r="AT36" i="1"/>
  <c r="AU36" i="1"/>
  <c r="AP37" i="1"/>
  <c r="AQ37" i="1"/>
  <c r="AR37" i="1"/>
  <c r="AS37" i="1"/>
  <c r="AT37" i="1"/>
  <c r="AU37" i="1"/>
  <c r="AP38" i="1"/>
  <c r="AQ38" i="1"/>
  <c r="AR38" i="1"/>
  <c r="AS38" i="1"/>
  <c r="AT38" i="1"/>
  <c r="AU38" i="1"/>
  <c r="AP39" i="1"/>
  <c r="AQ39" i="1"/>
  <c r="AR39" i="1"/>
  <c r="AS39" i="1"/>
  <c r="AT39" i="1"/>
  <c r="AU39" i="1"/>
  <c r="AP40" i="1"/>
  <c r="AQ40" i="1"/>
  <c r="AR40" i="1"/>
  <c r="AS40" i="1"/>
  <c r="AT40" i="1"/>
  <c r="AU40" i="1"/>
  <c r="AP41" i="1"/>
  <c r="AQ41" i="1"/>
  <c r="AR41" i="1"/>
  <c r="AS41" i="1"/>
  <c r="AT41" i="1"/>
  <c r="AU41" i="1"/>
  <c r="AP42" i="1"/>
  <c r="AQ42" i="1"/>
  <c r="AR42" i="1"/>
  <c r="AS42" i="1"/>
  <c r="AT42" i="1"/>
  <c r="AU42" i="1"/>
  <c r="AP43" i="1"/>
  <c r="AQ43" i="1"/>
  <c r="AR43" i="1"/>
  <c r="AS43" i="1"/>
  <c r="AT43" i="1"/>
  <c r="AU43" i="1"/>
  <c r="AP44" i="1"/>
  <c r="AQ44" i="1"/>
  <c r="AR44" i="1"/>
  <c r="AS44" i="1"/>
  <c r="AT44" i="1"/>
  <c r="AU44" i="1"/>
  <c r="AQ5" i="1"/>
  <c r="AR5" i="1"/>
  <c r="AS5" i="1"/>
  <c r="AT5" i="1"/>
  <c r="AU5" i="1"/>
  <c r="AP5" i="1"/>
  <c r="AV32" i="1" l="1"/>
  <c r="AW32" i="1"/>
  <c r="AX32" i="1"/>
  <c r="AY32" i="1"/>
  <c r="AZ32" i="1"/>
  <c r="BA32" i="1"/>
  <c r="BB32" i="1"/>
  <c r="BC32" i="1"/>
  <c r="BD32" i="1"/>
  <c r="BE32" i="1"/>
  <c r="BF32" i="1"/>
  <c r="BG32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V6" i="1"/>
  <c r="AW6" i="1"/>
  <c r="AX6" i="1"/>
  <c r="AY6" i="1"/>
  <c r="AZ6" i="1"/>
  <c r="BA6" i="1"/>
  <c r="BB6" i="1"/>
  <c r="BC6" i="1"/>
  <c r="BD6" i="1"/>
  <c r="BE6" i="1"/>
  <c r="BF6" i="1"/>
  <c r="BG6" i="1"/>
  <c r="AV7" i="1"/>
  <c r="AW7" i="1"/>
  <c r="AX7" i="1"/>
  <c r="AY7" i="1"/>
  <c r="AZ7" i="1"/>
  <c r="BA7" i="1"/>
  <c r="BB7" i="1"/>
  <c r="BC7" i="1"/>
  <c r="BD7" i="1"/>
  <c r="BE7" i="1"/>
  <c r="BF7" i="1"/>
  <c r="BG7" i="1"/>
  <c r="AV8" i="1"/>
  <c r="AW8" i="1"/>
  <c r="AX8" i="1"/>
  <c r="AY8" i="1"/>
  <c r="AZ8" i="1"/>
  <c r="BA8" i="1"/>
  <c r="BB8" i="1"/>
  <c r="BC8" i="1"/>
  <c r="BD8" i="1"/>
  <c r="BE8" i="1"/>
  <c r="BF8" i="1"/>
  <c r="BG8" i="1"/>
  <c r="AV9" i="1"/>
  <c r="AW9" i="1"/>
  <c r="AX9" i="1"/>
  <c r="AY9" i="1"/>
  <c r="AZ9" i="1"/>
  <c r="BA9" i="1"/>
  <c r="BB9" i="1"/>
  <c r="BC9" i="1"/>
  <c r="BD9" i="1"/>
  <c r="BE9" i="1"/>
  <c r="BF9" i="1"/>
  <c r="BG9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D5" i="1"/>
  <c r="BE5" i="1"/>
  <c r="BF5" i="1"/>
  <c r="BG5" i="1"/>
  <c r="AV5" i="1"/>
  <c r="AW5" i="1"/>
  <c r="AX5" i="1"/>
  <c r="AY5" i="1"/>
  <c r="AZ5" i="1"/>
  <c r="BA5" i="1"/>
  <c r="BB5" i="1"/>
  <c r="BC5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</calcChain>
</file>

<file path=xl/sharedStrings.xml><?xml version="1.0" encoding="utf-8"?>
<sst xmlns="http://schemas.openxmlformats.org/spreadsheetml/2006/main" count="92" uniqueCount="73">
  <si>
    <t>No</t>
  </si>
  <si>
    <t>Kode Wilayah</t>
  </si>
  <si>
    <t>Wilayah</t>
  </si>
  <si>
    <t>Pendidik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</si>
  <si>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</si>
  <si>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</si>
  <si>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</si>
  <si>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</si>
  <si>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</si>
  <si>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</si>
  <si>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</si>
  <si>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</si>
  <si>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</si>
  <si>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</si>
  <si>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</si>
  <si>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</si>
  <si>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</si>
  <si>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</si>
  <si>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</si>
  <si>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</si>
  <si>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</si>
  <si>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</si>
  <si>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</si>
  <si>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</si>
  <si>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</si>
  <si>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</si>
  <si>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</si>
  <si>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</si>
  <si>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</si>
  <si>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</si>
  <si>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</si>
  <si>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</si>
  <si>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</si>
  <si>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</si>
  <si>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</si>
  <si>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</si>
  <si>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</si>
  <si>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</si>
  <si>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</si>
  <si>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</si>
  <si>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</si>
  <si>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</si>
  <si>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</si>
  <si>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</si>
  <si>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</si>
  <si>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</si>
  <si>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</si>
  <si>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</si>
  <si>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</si>
  <si>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</si>
  <si>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</si>
  <si>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</si>
  <si>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</si>
  <si>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</si>
  <si>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</si>
  <si>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</si>
  <si>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</si>
  <si>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-</t>
  </si>
  <si>
    <t>Interpretasi</t>
  </si>
  <si>
    <t>Semakin tinggi jumlah, semakin banyak guru/pendidik di suatu wilayah dan waktu tertentu.</t>
  </si>
  <si>
    <t>Frekuensi update</t>
  </si>
  <si>
    <t>Tahunan</t>
  </si>
  <si>
    <t>Ukuran</t>
  </si>
  <si>
    <t>Satuan</t>
  </si>
  <si>
    <t>Orang</t>
  </si>
  <si>
    <t>Organisasi penanggung jawab</t>
  </si>
  <si>
    <t>Klasifikasi Penyajian</t>
  </si>
  <si>
    <t>Bentuk Satuan Pendidikan</t>
  </si>
  <si>
    <t>Status Satuan Pendidikan</t>
  </si>
  <si>
    <t>Jumlah Guru per Jenjang Pendidikan, Tahun Ajaran 2025/2026</t>
  </si>
  <si>
    <t>Banyaknya guru/pendidik yang mengajar di satuan pendidikan, di suatu wilayah pada suatu waktu tertentu.</t>
  </si>
  <si>
    <t>Penjumlahan guru/pendidik yang aktif mengajar di satuan pendidikan.</t>
  </si>
  <si>
    <t>Kementerian Pendidikan Dasar dan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</si>
</sst>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1F1F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7" xfId="0" applyNumberFormat="1" applyFont="1" applyBorder="1"/>
    <xf numFmtId="3" fontId="5" fillId="0" borderId="6" xfId="0" applyNumberFormat="1" applyFont="1" applyBorder="1"/>
    <xf numFmtId="0" fontId="1" fillId="0" borderId="7" xfId="0" applyFont="1" applyBorder="1" applyAlignment="1">
      <alignment vertical="center" wrapText="1"/>
    </xf>
    <xf numFmtId="0" fontId="6" fillId="3" borderId="7" xfId="0" applyFont="1" applyFill="1" applyBorder="1" applyAlignment="1">
      <alignment wrapText="1"/>
    </xf>
    <xf numFmtId="0" fontId="6" fillId="3" borderId="7" xfId="0" applyFont="1" applyFill="1" applyBorder="1" applyAlignment="1">
      <alignment vertical="center" wrapText="1"/>
    </xf>
    <xf numFmtId="0" fontId="7" fillId="3" borderId="7" xfId="0" quotePrefix="1" applyFont="1" applyFill="1" applyBorder="1" applyAlignment="1">
      <alignment wrapText="1"/>
    </xf>
    <xf numFmtId="0" fontId="1" fillId="0" borderId="7" xfId="0" applyFont="1" applyBorder="1" applyAlignment="1">
      <alignment horizontal="left" vertical="center" wrapText="1"/>
    </xf>
    <xf numFmtId="2" fontId="0" fillId="0" borderId="0" xfId="0" applyNumberFormat="1"/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99"/>
  <sheetViews>
    <sheetView tabSelected="1" workbookViewId="0">
      <selection activeCell="W8" sqref="W8"/>
    </sheetView>
  </sheetViews>
  <sheetFormatPr defaultColWidth="14.42578125" defaultRowHeight="15" customHeight="1"/>
  <cols>
    <col min="1" max="2" width="8.7109375" customWidth="1"/>
    <col min="3" max="3" width="25" bestFit="1" customWidth="1"/>
    <col min="4" max="25" width="8.7109375" customWidth="1"/>
    <col min="42" max="53" width="14.5703125" bestFit="1" customWidth="1"/>
    <col min="54" max="54" width="14.7109375" bestFit="1" customWidth="1"/>
    <col min="55" max="55" width="14.5703125" bestFit="1" customWidth="1"/>
    <col min="56" max="56" width="14.7109375" bestFit="1" customWidth="1"/>
    <col min="57" max="59" width="14.5703125" bestFit="1" customWidth="1"/>
  </cols>
  <sheetData>
    <row r="1" spans="1:59" ht="14.25" customHeight="1">
      <c r="A1" s="1" t="s">
        <v>69</v>
      </c>
    </row>
    <row r="2" spans="1:59" ht="14.25" customHeight="1"/>
    <row r="3" spans="1:59" ht="28.5" customHeight="1">
      <c r="A3" s="22" t="s">
        <v>0</v>
      </c>
      <c r="B3" s="24" t="s">
        <v>1</v>
      </c>
      <c r="C3" s="22" t="s">
        <v>2</v>
      </c>
      <c r="D3" s="21" t="s">
        <v>4</v>
      </c>
      <c r="E3" s="18"/>
      <c r="F3" s="19"/>
      <c r="G3" s="21" t="s">
        <v>5</v>
      </c>
      <c r="H3" s="18"/>
      <c r="I3" s="19"/>
      <c r="J3" s="17" t="s">
        <v>6</v>
      </c>
      <c r="K3" s="18"/>
      <c r="L3" s="19"/>
      <c r="M3" s="17" t="s">
        <v>7</v>
      </c>
      <c r="N3" s="18"/>
      <c r="O3" s="19"/>
      <c r="P3" s="17" t="s">
        <v>8</v>
      </c>
      <c r="Q3" s="18"/>
      <c r="R3" s="19"/>
      <c r="S3" s="21" t="s">
        <v>9</v>
      </c>
      <c r="T3" s="18"/>
      <c r="U3" s="19"/>
    </row>
    <row r="4" spans="1:59" ht="14.25" customHeight="1">
      <c r="A4" s="23"/>
      <c r="B4" s="25"/>
      <c r="C4" s="23"/>
      <c r="D4" s="2" t="s">
        <v>10</v>
      </c>
      <c r="E4" s="2" t="s">
        <v>11</v>
      </c>
      <c r="F4" s="2" t="s">
        <v>12</v>
      </c>
      <c r="G4" s="2" t="s">
        <v>10</v>
      </c>
      <c r="H4" s="2" t="s">
        <v>11</v>
      </c>
      <c r="I4" s="2" t="s">
        <v>12</v>
      </c>
      <c r="J4" s="2" t="s">
        <v>10</v>
      </c>
      <c r="K4" s="2" t="s">
        <v>11</v>
      </c>
      <c r="L4" s="2" t="s">
        <v>12</v>
      </c>
      <c r="M4" s="2" t="s">
        <v>10</v>
      </c>
      <c r="N4" s="2" t="s">
        <v>11</v>
      </c>
      <c r="O4" s="2" t="s">
        <v>12</v>
      </c>
      <c r="P4" s="2" t="s">
        <v>10</v>
      </c>
      <c r="Q4" s="2" t="s">
        <v>11</v>
      </c>
      <c r="R4" s="2" t="s">
        <v>12</v>
      </c>
      <c r="S4" s="2" t="s">
        <v>10</v>
      </c>
      <c r="T4" s="2" t="s">
        <v>11</v>
      </c>
      <c r="U4" s="2" t="s">
        <v>12</v>
      </c>
    </row>
    <row r="5" spans="1:59" ht="14.25" customHeight="1">
      <c r="A5" s="3">
        <v>1</v>
      </c>
      <c r="B5" s="4">
        <v>11</v>
      </c>
      <c r="C5" s="5" t="s">
        <v>18</v>
      </c>
      <c r="D5" s="9">
        <v>4516</v>
      </c>
      <c r="E5" s="9">
        <v>5918</v>
      </c>
      <c r="F5" s="9">
        <v>10434</v>
      </c>
      <c r="G5" s="9">
        <v>44512</v>
      </c>
      <c r="H5" s="9">
        <v>3149</v>
      </c>
      <c r="I5" s="9">
        <v>47661</v>
      </c>
      <c r="J5" s="9">
        <v>19202</v>
      </c>
      <c r="K5" s="9">
        <v>4327</v>
      </c>
      <c r="L5" s="9">
        <v>23529</v>
      </c>
      <c r="M5" s="9">
        <v>12320</v>
      </c>
      <c r="N5" s="9">
        <v>1623</v>
      </c>
      <c r="O5" s="9">
        <v>13943</v>
      </c>
      <c r="P5" s="9">
        <v>6449</v>
      </c>
      <c r="Q5" s="9">
        <v>770</v>
      </c>
      <c r="R5" s="9">
        <v>7219</v>
      </c>
      <c r="S5" s="9">
        <v>783</v>
      </c>
      <c r="T5" s="9">
        <v>426</v>
      </c>
      <c r="U5" s="9">
        <v>1209</v>
      </c>
      <c r="AP5" s="16">
        <f>W5/D5</f>
        <v>0</v>
      </c>
      <c r="AQ5" s="16">
        <f t="shared" ref="AQ5:AU5" si="0">X5/E5</f>
        <v>0</v>
      </c>
      <c r="AR5" s="16">
        <f t="shared" si="0"/>
        <v>0</v>
      </c>
      <c r="AS5" s="16">
        <f t="shared" si="0"/>
        <v>0</v>
      </c>
      <c r="AT5" s="16">
        <f t="shared" si="0"/>
        <v>0</v>
      </c>
      <c r="AU5" s="16">
        <f t="shared" si="0"/>
        <v>0</v>
      </c>
      <c r="AV5" s="16">
        <f t="shared" ref="AV5:BC5" si="1">AC5/J5*100</f>
        <v>0</v>
      </c>
      <c r="AW5" s="16">
        <f t="shared" si="1"/>
        <v>0</v>
      </c>
      <c r="AX5" s="16">
        <f t="shared" si="1"/>
        <v>0</v>
      </c>
      <c r="AY5" s="16">
        <f t="shared" si="1"/>
        <v>0</v>
      </c>
      <c r="AZ5" s="16">
        <f t="shared" si="1"/>
        <v>0</v>
      </c>
      <c r="BA5" s="16">
        <f t="shared" si="1"/>
        <v>0</v>
      </c>
      <c r="BB5" s="16">
        <f t="shared" si="1"/>
        <v>0</v>
      </c>
      <c r="BC5" s="16">
        <f t="shared" si="1"/>
        <v>0</v>
      </c>
      <c r="BD5" s="16">
        <f t="shared" ref="BD5" si="2">AK5/R5*100</f>
        <v>0</v>
      </c>
      <c r="BE5" s="16">
        <f t="shared" ref="BE5" si="3">AL5/S5*100</f>
        <v>0</v>
      </c>
      <c r="BF5" s="16">
        <f t="shared" ref="BF5" si="4">AM5/T5*100</f>
        <v>0</v>
      </c>
      <c r="BG5" s="16">
        <f t="shared" ref="BG5" si="5">AN5/U5*100</f>
        <v>0</v>
      </c>
    </row>
    <row r="6" spans="1:59" ht="14.25" customHeight="1">
      <c r="A6" s="3">
        <v>2</v>
      </c>
      <c r="B6" s="4">
        <v>12</v>
      </c>
      <c r="C6" s="5" t="s">
        <v>19</v>
      </c>
      <c r="D6" s="9">
        <v>1134</v>
      </c>
      <c r="E6" s="9">
        <v>9823</v>
      </c>
      <c r="F6" s="9">
        <v>10957</v>
      </c>
      <c r="G6" s="9">
        <v>86157</v>
      </c>
      <c r="H6" s="9">
        <v>19389</v>
      </c>
      <c r="I6" s="9">
        <v>105546</v>
      </c>
      <c r="J6" s="9">
        <v>30738</v>
      </c>
      <c r="K6" s="9">
        <v>13106</v>
      </c>
      <c r="L6" s="9">
        <v>43844</v>
      </c>
      <c r="M6" s="9">
        <v>15739</v>
      </c>
      <c r="N6" s="9">
        <v>7862</v>
      </c>
      <c r="O6" s="9">
        <v>23601</v>
      </c>
      <c r="P6" s="9">
        <v>10799</v>
      </c>
      <c r="Q6" s="9">
        <v>9433</v>
      </c>
      <c r="R6" s="9">
        <v>20232</v>
      </c>
      <c r="S6" s="9">
        <v>550</v>
      </c>
      <c r="T6" s="9">
        <v>313</v>
      </c>
      <c r="U6" s="9">
        <v>863</v>
      </c>
      <c r="AP6" s="16">
        <f t="shared" ref="AP6:AP44" si="6">W6/D6</f>
        <v>0</v>
      </c>
      <c r="AQ6" s="16">
        <f t="shared" ref="AQ6:AQ44" si="7">X6/E6</f>
        <v>0</v>
      </c>
      <c r="AR6" s="16">
        <f t="shared" ref="AR6:AR44" si="8">Y6/F6</f>
        <v>0</v>
      </c>
      <c r="AS6" s="16">
        <f t="shared" ref="AS6:AS44" si="9">Z6/G6</f>
        <v>0</v>
      </c>
      <c r="AT6" s="16">
        <f t="shared" ref="AT6:AT44" si="10">AA6/H6</f>
        <v>0</v>
      </c>
      <c r="AU6" s="16">
        <f t="shared" ref="AU6:AU44" si="11">AB6/I6</f>
        <v>0</v>
      </c>
      <c r="AV6" s="16">
        <f t="shared" ref="AV6:AV32" si="12">AC6/J6*100</f>
        <v>0</v>
      </c>
      <c r="AW6" s="16">
        <f t="shared" ref="AW6:AW32" si="13">AD6/K6*100</f>
        <v>0</v>
      </c>
      <c r="AX6" s="16">
        <f t="shared" ref="AX6:AX32" si="14">AE6/L6*100</f>
        <v>0</v>
      </c>
      <c r="AY6" s="16">
        <f t="shared" ref="AY6:AY32" si="15">AF6/M6*100</f>
        <v>0</v>
      </c>
      <c r="AZ6" s="16">
        <f t="shared" ref="AZ6:AZ32" si="16">AG6/N6*100</f>
        <v>0</v>
      </c>
      <c r="BA6" s="16">
        <f t="shared" ref="BA6:BA32" si="17">AH6/O6*100</f>
        <v>0</v>
      </c>
      <c r="BB6" s="16">
        <f t="shared" ref="BB6:BB32" si="18">AI6/P6*100</f>
        <v>0</v>
      </c>
      <c r="BC6" s="16">
        <f t="shared" ref="BC6:BC32" si="19">AJ6/Q6*100</f>
        <v>0</v>
      </c>
      <c r="BD6" s="16">
        <f t="shared" ref="BD6:BD32" si="20">AK6/R6*100</f>
        <v>0</v>
      </c>
      <c r="BE6" s="16">
        <f t="shared" ref="BE6:BE32" si="21">AL6/S6*100</f>
        <v>0</v>
      </c>
      <c r="BF6" s="16">
        <f t="shared" ref="BF6:BF32" si="22">AM6/T6*100</f>
        <v>0</v>
      </c>
      <c r="BG6" s="16">
        <f t="shared" ref="BG6:BG32" si="23">AN6/U6*100</f>
        <v>0</v>
      </c>
    </row>
    <row r="7" spans="1:59" ht="14.25" customHeight="1">
      <c r="A7" s="3">
        <v>3</v>
      </c>
      <c r="B7" s="4">
        <v>13</v>
      </c>
      <c r="C7" s="5" t="s">
        <v>20</v>
      </c>
      <c r="D7" s="9">
        <v>900</v>
      </c>
      <c r="E7" s="9">
        <v>6248</v>
      </c>
      <c r="F7" s="9">
        <v>7148</v>
      </c>
      <c r="G7" s="9">
        <v>40177</v>
      </c>
      <c r="H7" s="9">
        <v>5278</v>
      </c>
      <c r="I7" s="9">
        <v>45455</v>
      </c>
      <c r="J7" s="9">
        <v>14663</v>
      </c>
      <c r="K7" s="9">
        <v>2304</v>
      </c>
      <c r="L7" s="9">
        <v>16967</v>
      </c>
      <c r="M7" s="9">
        <v>9216</v>
      </c>
      <c r="N7" s="9">
        <v>1269</v>
      </c>
      <c r="O7" s="9">
        <v>10485</v>
      </c>
      <c r="P7" s="9">
        <v>5743</v>
      </c>
      <c r="Q7" s="9">
        <v>1188</v>
      </c>
      <c r="R7" s="9">
        <v>6931</v>
      </c>
      <c r="S7" s="9">
        <v>587</v>
      </c>
      <c r="T7" s="9">
        <v>957</v>
      </c>
      <c r="U7" s="9">
        <v>1544</v>
      </c>
      <c r="AP7" s="16">
        <f t="shared" si="6"/>
        <v>0</v>
      </c>
      <c r="AQ7" s="16">
        <f t="shared" si="7"/>
        <v>0</v>
      </c>
      <c r="AR7" s="16">
        <f t="shared" si="8"/>
        <v>0</v>
      </c>
      <c r="AS7" s="16">
        <f t="shared" si="9"/>
        <v>0</v>
      </c>
      <c r="AT7" s="16">
        <f t="shared" si="10"/>
        <v>0</v>
      </c>
      <c r="AU7" s="16">
        <f t="shared" si="11"/>
        <v>0</v>
      </c>
      <c r="AV7" s="16">
        <f t="shared" si="12"/>
        <v>0</v>
      </c>
      <c r="AW7" s="16">
        <f t="shared" si="13"/>
        <v>0</v>
      </c>
      <c r="AX7" s="16">
        <f t="shared" si="14"/>
        <v>0</v>
      </c>
      <c r="AY7" s="16">
        <f t="shared" si="15"/>
        <v>0</v>
      </c>
      <c r="AZ7" s="16">
        <f t="shared" si="16"/>
        <v>0</v>
      </c>
      <c r="BA7" s="16">
        <f t="shared" si="17"/>
        <v>0</v>
      </c>
      <c r="BB7" s="16">
        <f t="shared" si="18"/>
        <v>0</v>
      </c>
      <c r="BC7" s="16">
        <f t="shared" si="19"/>
        <v>0</v>
      </c>
      <c r="BD7" s="16">
        <f t="shared" si="20"/>
        <v>0</v>
      </c>
      <c r="BE7" s="16">
        <f t="shared" si="21"/>
        <v>0</v>
      </c>
      <c r="BF7" s="16">
        <f t="shared" si="22"/>
        <v>0</v>
      </c>
      <c r="BG7" s="16">
        <f t="shared" si="23"/>
        <v>0</v>
      </c>
    </row>
    <row r="8" spans="1:59" ht="14.25" customHeight="1">
      <c r="A8" s="3">
        <v>4</v>
      </c>
      <c r="B8" s="4">
        <v>14</v>
      </c>
      <c r="C8" s="5" t="s">
        <v>21</v>
      </c>
      <c r="D8" s="9">
        <v>1086</v>
      </c>
      <c r="E8" s="9">
        <v>7479</v>
      </c>
      <c r="F8" s="9">
        <v>8565</v>
      </c>
      <c r="G8" s="9">
        <v>41875</v>
      </c>
      <c r="H8" s="9">
        <v>9375</v>
      </c>
      <c r="I8" s="9">
        <v>51250</v>
      </c>
      <c r="J8" s="9">
        <v>16294</v>
      </c>
      <c r="K8" s="9">
        <v>4578</v>
      </c>
      <c r="L8" s="9">
        <v>20872</v>
      </c>
      <c r="M8" s="9">
        <v>10122</v>
      </c>
      <c r="N8" s="9">
        <v>2069</v>
      </c>
      <c r="O8" s="9">
        <v>12191</v>
      </c>
      <c r="P8" s="9">
        <v>5367</v>
      </c>
      <c r="Q8" s="9">
        <v>2865</v>
      </c>
      <c r="R8" s="9">
        <v>8232</v>
      </c>
      <c r="S8" s="9">
        <v>374</v>
      </c>
      <c r="T8" s="9">
        <v>269</v>
      </c>
      <c r="U8" s="9">
        <v>643</v>
      </c>
      <c r="AP8" s="16">
        <f t="shared" si="6"/>
        <v>0</v>
      </c>
      <c r="AQ8" s="16">
        <f t="shared" si="7"/>
        <v>0</v>
      </c>
      <c r="AR8" s="16">
        <f t="shared" si="8"/>
        <v>0</v>
      </c>
      <c r="AS8" s="16">
        <f t="shared" si="9"/>
        <v>0</v>
      </c>
      <c r="AT8" s="16">
        <f t="shared" si="10"/>
        <v>0</v>
      </c>
      <c r="AU8" s="16">
        <f t="shared" si="11"/>
        <v>0</v>
      </c>
      <c r="AV8" s="16">
        <f t="shared" si="12"/>
        <v>0</v>
      </c>
      <c r="AW8" s="16">
        <f t="shared" si="13"/>
        <v>0</v>
      </c>
      <c r="AX8" s="16">
        <f t="shared" si="14"/>
        <v>0</v>
      </c>
      <c r="AY8" s="16">
        <f t="shared" si="15"/>
        <v>0</v>
      </c>
      <c r="AZ8" s="16">
        <f t="shared" si="16"/>
        <v>0</v>
      </c>
      <c r="BA8" s="16">
        <f t="shared" si="17"/>
        <v>0</v>
      </c>
      <c r="BB8" s="16">
        <f t="shared" si="18"/>
        <v>0</v>
      </c>
      <c r="BC8" s="16">
        <f t="shared" si="19"/>
        <v>0</v>
      </c>
      <c r="BD8" s="16">
        <f t="shared" si="20"/>
        <v>0</v>
      </c>
      <c r="BE8" s="16">
        <f t="shared" si="21"/>
        <v>0</v>
      </c>
      <c r="BF8" s="16">
        <f t="shared" si="22"/>
        <v>0</v>
      </c>
      <c r="BG8" s="16">
        <f t="shared" si="23"/>
        <v>0</v>
      </c>
    </row>
    <row r="9" spans="1:59" ht="14.25" customHeight="1">
      <c r="A9" s="3">
        <v>5</v>
      </c>
      <c r="B9" s="4">
        <v>15</v>
      </c>
      <c r="C9" s="5" t="s">
        <v>22</v>
      </c>
      <c r="D9" s="9">
        <v>1015</v>
      </c>
      <c r="E9" s="9">
        <v>3651</v>
      </c>
      <c r="F9" s="9">
        <v>4666</v>
      </c>
      <c r="G9" s="9">
        <v>25682</v>
      </c>
      <c r="H9" s="9">
        <v>2434</v>
      </c>
      <c r="I9" s="9">
        <v>28116</v>
      </c>
      <c r="J9" s="9">
        <v>9472</v>
      </c>
      <c r="K9" s="9">
        <v>1535</v>
      </c>
      <c r="L9" s="9">
        <v>11007</v>
      </c>
      <c r="M9" s="9">
        <v>4909</v>
      </c>
      <c r="N9" s="9">
        <v>805</v>
      </c>
      <c r="O9" s="9">
        <v>5714</v>
      </c>
      <c r="P9" s="9">
        <v>3451</v>
      </c>
      <c r="Q9" s="9">
        <v>872</v>
      </c>
      <c r="R9" s="9">
        <v>4323</v>
      </c>
      <c r="S9" s="9">
        <v>360</v>
      </c>
      <c r="T9" s="9">
        <v>77</v>
      </c>
      <c r="U9" s="9">
        <v>437</v>
      </c>
      <c r="AP9" s="16">
        <f t="shared" si="6"/>
        <v>0</v>
      </c>
      <c r="AQ9" s="16">
        <f t="shared" si="7"/>
        <v>0</v>
      </c>
      <c r="AR9" s="16">
        <f t="shared" si="8"/>
        <v>0</v>
      </c>
      <c r="AS9" s="16">
        <f t="shared" si="9"/>
        <v>0</v>
      </c>
      <c r="AT9" s="16">
        <f t="shared" si="10"/>
        <v>0</v>
      </c>
      <c r="AU9" s="16">
        <f t="shared" si="11"/>
        <v>0</v>
      </c>
      <c r="AV9" s="16">
        <f t="shared" si="12"/>
        <v>0</v>
      </c>
      <c r="AW9" s="16">
        <f t="shared" si="13"/>
        <v>0</v>
      </c>
      <c r="AX9" s="16">
        <f t="shared" si="14"/>
        <v>0</v>
      </c>
      <c r="AY9" s="16">
        <f t="shared" si="15"/>
        <v>0</v>
      </c>
      <c r="AZ9" s="16">
        <f t="shared" si="16"/>
        <v>0</v>
      </c>
      <c r="BA9" s="16">
        <f t="shared" si="17"/>
        <v>0</v>
      </c>
      <c r="BB9" s="16">
        <f t="shared" si="18"/>
        <v>0</v>
      </c>
      <c r="BC9" s="16">
        <f t="shared" si="19"/>
        <v>0</v>
      </c>
      <c r="BD9" s="16">
        <f t="shared" si="20"/>
        <v>0</v>
      </c>
      <c r="BE9" s="16">
        <f t="shared" si="21"/>
        <v>0</v>
      </c>
      <c r="BF9" s="16">
        <f t="shared" si="22"/>
        <v>0</v>
      </c>
      <c r="BG9" s="16">
        <f t="shared" si="23"/>
        <v>0</v>
      </c>
    </row>
    <row r="10" spans="1:59" ht="14.25" customHeight="1">
      <c r="A10" s="3">
        <v>6</v>
      </c>
      <c r="B10" s="4">
        <v>16</v>
      </c>
      <c r="C10" s="5" t="s">
        <v>23</v>
      </c>
      <c r="D10" s="9">
        <v>913</v>
      </c>
      <c r="E10" s="9">
        <v>7024</v>
      </c>
      <c r="F10" s="9">
        <v>7937</v>
      </c>
      <c r="G10" s="9">
        <v>51187</v>
      </c>
      <c r="H10" s="9">
        <v>6285</v>
      </c>
      <c r="I10" s="9">
        <v>57472</v>
      </c>
      <c r="J10" s="9">
        <v>20620</v>
      </c>
      <c r="K10" s="9">
        <v>5034</v>
      </c>
      <c r="L10" s="9">
        <v>25654</v>
      </c>
      <c r="M10" s="9">
        <v>11659</v>
      </c>
      <c r="N10" s="9">
        <v>3399</v>
      </c>
      <c r="O10" s="9">
        <v>15058</v>
      </c>
      <c r="P10" s="9">
        <v>5740</v>
      </c>
      <c r="Q10" s="9">
        <v>2996</v>
      </c>
      <c r="R10" s="9">
        <v>8736</v>
      </c>
      <c r="S10" s="9">
        <v>301</v>
      </c>
      <c r="T10" s="9">
        <v>240</v>
      </c>
      <c r="U10" s="9">
        <v>541</v>
      </c>
      <c r="AP10" s="16">
        <f t="shared" si="6"/>
        <v>0</v>
      </c>
      <c r="AQ10" s="16">
        <f t="shared" si="7"/>
        <v>0</v>
      </c>
      <c r="AR10" s="16">
        <f t="shared" si="8"/>
        <v>0</v>
      </c>
      <c r="AS10" s="16">
        <f t="shared" si="9"/>
        <v>0</v>
      </c>
      <c r="AT10" s="16">
        <f t="shared" si="10"/>
        <v>0</v>
      </c>
      <c r="AU10" s="16">
        <f t="shared" si="11"/>
        <v>0</v>
      </c>
      <c r="AV10" s="16">
        <f t="shared" si="12"/>
        <v>0</v>
      </c>
      <c r="AW10" s="16">
        <f t="shared" si="13"/>
        <v>0</v>
      </c>
      <c r="AX10" s="16">
        <f t="shared" si="14"/>
        <v>0</v>
      </c>
      <c r="AY10" s="16">
        <f t="shared" si="15"/>
        <v>0</v>
      </c>
      <c r="AZ10" s="16">
        <f t="shared" si="16"/>
        <v>0</v>
      </c>
      <c r="BA10" s="16">
        <f t="shared" si="17"/>
        <v>0</v>
      </c>
      <c r="BB10" s="16">
        <f t="shared" si="18"/>
        <v>0</v>
      </c>
      <c r="BC10" s="16">
        <f t="shared" si="19"/>
        <v>0</v>
      </c>
      <c r="BD10" s="16">
        <f t="shared" si="20"/>
        <v>0</v>
      </c>
      <c r="BE10" s="16">
        <f t="shared" si="21"/>
        <v>0</v>
      </c>
      <c r="BF10" s="16">
        <f t="shared" si="22"/>
        <v>0</v>
      </c>
      <c r="BG10" s="16">
        <f t="shared" si="23"/>
        <v>0</v>
      </c>
    </row>
    <row r="11" spans="1:59" ht="14.25" customHeight="1">
      <c r="A11" s="3">
        <v>7</v>
      </c>
      <c r="B11" s="4">
        <v>17</v>
      </c>
      <c r="C11" s="5" t="s">
        <v>37</v>
      </c>
      <c r="D11" s="9">
        <v>788</v>
      </c>
      <c r="E11" s="9">
        <v>2961</v>
      </c>
      <c r="F11" s="9">
        <v>3749</v>
      </c>
      <c r="G11" s="9">
        <v>14756</v>
      </c>
      <c r="H11" s="9">
        <v>1904</v>
      </c>
      <c r="I11" s="9">
        <v>16660</v>
      </c>
      <c r="J11" s="9">
        <v>7380</v>
      </c>
      <c r="K11" s="9">
        <v>858</v>
      </c>
      <c r="L11" s="9">
        <v>8238</v>
      </c>
      <c r="M11" s="9">
        <v>3920</v>
      </c>
      <c r="N11" s="9">
        <v>318</v>
      </c>
      <c r="O11" s="9">
        <v>4238</v>
      </c>
      <c r="P11" s="9">
        <v>2601</v>
      </c>
      <c r="Q11" s="9">
        <v>348</v>
      </c>
      <c r="R11" s="9">
        <v>2949</v>
      </c>
      <c r="S11" s="9">
        <v>294</v>
      </c>
      <c r="T11" s="9">
        <v>49</v>
      </c>
      <c r="U11" s="9">
        <v>343</v>
      </c>
      <c r="AP11" s="16">
        <f t="shared" si="6"/>
        <v>0</v>
      </c>
      <c r="AQ11" s="16">
        <f t="shared" si="7"/>
        <v>0</v>
      </c>
      <c r="AR11" s="16">
        <f t="shared" si="8"/>
        <v>0</v>
      </c>
      <c r="AS11" s="16">
        <f t="shared" si="9"/>
        <v>0</v>
      </c>
      <c r="AT11" s="16">
        <f t="shared" si="10"/>
        <v>0</v>
      </c>
      <c r="AU11" s="16">
        <f t="shared" si="11"/>
        <v>0</v>
      </c>
      <c r="AV11" s="16">
        <f t="shared" si="12"/>
        <v>0</v>
      </c>
      <c r="AW11" s="16">
        <f t="shared" si="13"/>
        <v>0</v>
      </c>
      <c r="AX11" s="16">
        <f t="shared" si="14"/>
        <v>0</v>
      </c>
      <c r="AY11" s="16">
        <f t="shared" si="15"/>
        <v>0</v>
      </c>
      <c r="AZ11" s="16">
        <f t="shared" si="16"/>
        <v>0</v>
      </c>
      <c r="BA11" s="16">
        <f t="shared" si="17"/>
        <v>0</v>
      </c>
      <c r="BB11" s="16">
        <f t="shared" si="18"/>
        <v>0</v>
      </c>
      <c r="BC11" s="16">
        <f t="shared" si="19"/>
        <v>0</v>
      </c>
      <c r="BD11" s="16">
        <f t="shared" si="20"/>
        <v>0</v>
      </c>
      <c r="BE11" s="16">
        <f t="shared" si="21"/>
        <v>0</v>
      </c>
      <c r="BF11" s="16">
        <f t="shared" si="22"/>
        <v>0</v>
      </c>
      <c r="BG11" s="16">
        <f t="shared" si="23"/>
        <v>0</v>
      </c>
    </row>
    <row r="12" spans="1:59" ht="14.25" customHeight="1">
      <c r="A12" s="3">
        <v>8</v>
      </c>
      <c r="B12" s="4">
        <v>18</v>
      </c>
      <c r="C12" s="5" t="s">
        <v>24</v>
      </c>
      <c r="D12" s="9">
        <v>639</v>
      </c>
      <c r="E12" s="9">
        <v>10223</v>
      </c>
      <c r="F12" s="9">
        <v>10862</v>
      </c>
      <c r="G12" s="9">
        <v>48288</v>
      </c>
      <c r="H12" s="9">
        <v>5781</v>
      </c>
      <c r="I12" s="9">
        <v>54069</v>
      </c>
      <c r="J12" s="9">
        <v>16200</v>
      </c>
      <c r="K12" s="9">
        <v>7059</v>
      </c>
      <c r="L12" s="9">
        <v>23259</v>
      </c>
      <c r="M12" s="9">
        <v>9053</v>
      </c>
      <c r="N12" s="9">
        <v>3184</v>
      </c>
      <c r="O12" s="9">
        <v>12237</v>
      </c>
      <c r="P12" s="9">
        <v>5347</v>
      </c>
      <c r="Q12" s="9">
        <v>5176</v>
      </c>
      <c r="R12" s="9">
        <v>10523</v>
      </c>
      <c r="S12" s="9">
        <v>294</v>
      </c>
      <c r="T12" s="9">
        <v>152</v>
      </c>
      <c r="U12" s="9">
        <v>446</v>
      </c>
      <c r="AP12" s="16">
        <f t="shared" si="6"/>
        <v>0</v>
      </c>
      <c r="AQ12" s="16">
        <f t="shared" si="7"/>
        <v>0</v>
      </c>
      <c r="AR12" s="16">
        <f t="shared" si="8"/>
        <v>0</v>
      </c>
      <c r="AS12" s="16">
        <f t="shared" si="9"/>
        <v>0</v>
      </c>
      <c r="AT12" s="16">
        <f t="shared" si="10"/>
        <v>0</v>
      </c>
      <c r="AU12" s="16">
        <f t="shared" si="11"/>
        <v>0</v>
      </c>
      <c r="AV12" s="16">
        <f t="shared" si="12"/>
        <v>0</v>
      </c>
      <c r="AW12" s="16">
        <f t="shared" si="13"/>
        <v>0</v>
      </c>
      <c r="AX12" s="16">
        <f t="shared" si="14"/>
        <v>0</v>
      </c>
      <c r="AY12" s="16">
        <f t="shared" si="15"/>
        <v>0</v>
      </c>
      <c r="AZ12" s="16">
        <f t="shared" si="16"/>
        <v>0</v>
      </c>
      <c r="BA12" s="16">
        <f t="shared" si="17"/>
        <v>0</v>
      </c>
      <c r="BB12" s="16">
        <f t="shared" si="18"/>
        <v>0</v>
      </c>
      <c r="BC12" s="16">
        <f t="shared" si="19"/>
        <v>0</v>
      </c>
      <c r="BD12" s="16">
        <f t="shared" si="20"/>
        <v>0</v>
      </c>
      <c r="BE12" s="16">
        <f t="shared" si="21"/>
        <v>0</v>
      </c>
      <c r="BF12" s="16">
        <f t="shared" si="22"/>
        <v>0</v>
      </c>
      <c r="BG12" s="16">
        <f t="shared" si="23"/>
        <v>0</v>
      </c>
    </row>
    <row r="13" spans="1:59" ht="14.25" customHeight="1">
      <c r="A13" s="3">
        <v>9</v>
      </c>
      <c r="B13" s="4">
        <v>19</v>
      </c>
      <c r="C13" s="5" t="s">
        <v>40</v>
      </c>
      <c r="D13" s="9">
        <v>407</v>
      </c>
      <c r="E13" s="9">
        <v>1038</v>
      </c>
      <c r="F13" s="9">
        <v>1445</v>
      </c>
      <c r="G13" s="9">
        <v>7863</v>
      </c>
      <c r="H13" s="9">
        <v>995</v>
      </c>
      <c r="I13" s="9">
        <v>8858</v>
      </c>
      <c r="J13" s="9">
        <v>3009</v>
      </c>
      <c r="K13" s="9">
        <v>687</v>
      </c>
      <c r="L13" s="9">
        <v>3696</v>
      </c>
      <c r="M13" s="9">
        <v>1485</v>
      </c>
      <c r="N13" s="9">
        <v>402</v>
      </c>
      <c r="O13" s="9">
        <v>1887</v>
      </c>
      <c r="P13" s="9">
        <v>1292</v>
      </c>
      <c r="Q13" s="9">
        <v>346</v>
      </c>
      <c r="R13" s="9">
        <v>1638</v>
      </c>
      <c r="S13" s="9">
        <v>145</v>
      </c>
      <c r="T13" s="9">
        <v>28</v>
      </c>
      <c r="U13" s="9">
        <v>173</v>
      </c>
      <c r="AP13" s="16">
        <f t="shared" si="6"/>
        <v>0</v>
      </c>
      <c r="AQ13" s="16">
        <f t="shared" si="7"/>
        <v>0</v>
      </c>
      <c r="AR13" s="16">
        <f t="shared" si="8"/>
        <v>0</v>
      </c>
      <c r="AS13" s="16">
        <f t="shared" si="9"/>
        <v>0</v>
      </c>
      <c r="AT13" s="16">
        <f t="shared" si="10"/>
        <v>0</v>
      </c>
      <c r="AU13" s="16">
        <f t="shared" si="11"/>
        <v>0</v>
      </c>
      <c r="AV13" s="16">
        <f t="shared" si="12"/>
        <v>0</v>
      </c>
      <c r="AW13" s="16">
        <f t="shared" si="13"/>
        <v>0</v>
      </c>
      <c r="AX13" s="16">
        <f t="shared" si="14"/>
        <v>0</v>
      </c>
      <c r="AY13" s="16">
        <f t="shared" si="15"/>
        <v>0</v>
      </c>
      <c r="AZ13" s="16">
        <f t="shared" si="16"/>
        <v>0</v>
      </c>
      <c r="BA13" s="16">
        <f t="shared" si="17"/>
        <v>0</v>
      </c>
      <c r="BB13" s="16">
        <f t="shared" si="18"/>
        <v>0</v>
      </c>
      <c r="BC13" s="16">
        <f t="shared" si="19"/>
        <v>0</v>
      </c>
      <c r="BD13" s="16">
        <f t="shared" si="20"/>
        <v>0</v>
      </c>
      <c r="BE13" s="16">
        <f t="shared" si="21"/>
        <v>0</v>
      </c>
      <c r="BF13" s="16">
        <f t="shared" si="22"/>
        <v>0</v>
      </c>
      <c r="BG13" s="16">
        <f t="shared" si="23"/>
        <v>0</v>
      </c>
    </row>
    <row r="14" spans="1:59" ht="14.25" customHeight="1">
      <c r="A14" s="3">
        <v>10</v>
      </c>
      <c r="B14" s="4">
        <v>21</v>
      </c>
      <c r="C14" s="5" t="s">
        <v>42</v>
      </c>
      <c r="D14" s="9">
        <v>371</v>
      </c>
      <c r="E14" s="9">
        <v>1816</v>
      </c>
      <c r="F14" s="9">
        <v>2187</v>
      </c>
      <c r="G14" s="9">
        <v>8533</v>
      </c>
      <c r="H14" s="9">
        <v>4772</v>
      </c>
      <c r="I14" s="9">
        <v>13305</v>
      </c>
      <c r="J14" s="9">
        <v>4115</v>
      </c>
      <c r="K14" s="9">
        <v>2019</v>
      </c>
      <c r="L14" s="9">
        <v>6134</v>
      </c>
      <c r="M14" s="9">
        <v>2973</v>
      </c>
      <c r="N14" s="9">
        <v>790</v>
      </c>
      <c r="O14" s="9">
        <v>3763</v>
      </c>
      <c r="P14" s="9">
        <v>1743</v>
      </c>
      <c r="Q14" s="9">
        <v>686</v>
      </c>
      <c r="R14" s="9">
        <v>2429</v>
      </c>
      <c r="S14" s="9">
        <v>172</v>
      </c>
      <c r="T14" s="9">
        <v>110</v>
      </c>
      <c r="U14" s="9">
        <v>282</v>
      </c>
      <c r="AP14" s="16">
        <f t="shared" si="6"/>
        <v>0</v>
      </c>
      <c r="AQ14" s="16">
        <f t="shared" si="7"/>
        <v>0</v>
      </c>
      <c r="AR14" s="16">
        <f t="shared" si="8"/>
        <v>0</v>
      </c>
      <c r="AS14" s="16">
        <f t="shared" si="9"/>
        <v>0</v>
      </c>
      <c r="AT14" s="16">
        <f t="shared" si="10"/>
        <v>0</v>
      </c>
      <c r="AU14" s="16">
        <f t="shared" si="11"/>
        <v>0</v>
      </c>
      <c r="AV14" s="16">
        <f t="shared" si="12"/>
        <v>0</v>
      </c>
      <c r="AW14" s="16">
        <f t="shared" si="13"/>
        <v>0</v>
      </c>
      <c r="AX14" s="16">
        <f t="shared" si="14"/>
        <v>0</v>
      </c>
      <c r="AY14" s="16">
        <f t="shared" si="15"/>
        <v>0</v>
      </c>
      <c r="AZ14" s="16">
        <f t="shared" si="16"/>
        <v>0</v>
      </c>
      <c r="BA14" s="16">
        <f t="shared" si="17"/>
        <v>0</v>
      </c>
      <c r="BB14" s="16">
        <f t="shared" si="18"/>
        <v>0</v>
      </c>
      <c r="BC14" s="16">
        <f t="shared" si="19"/>
        <v>0</v>
      </c>
      <c r="BD14" s="16">
        <f t="shared" si="20"/>
        <v>0</v>
      </c>
      <c r="BE14" s="16">
        <f t="shared" si="21"/>
        <v>0</v>
      </c>
      <c r="BF14" s="16">
        <f t="shared" si="22"/>
        <v>0</v>
      </c>
      <c r="BG14" s="16">
        <f t="shared" si="23"/>
        <v>0</v>
      </c>
    </row>
    <row r="15" spans="1:59" ht="14.25" customHeight="1">
      <c r="A15" s="3">
        <v>11</v>
      </c>
      <c r="B15" s="4">
        <v>31</v>
      </c>
      <c r="C15" s="5" t="s">
        <v>13</v>
      </c>
      <c r="D15" s="9">
        <v>294</v>
      </c>
      <c r="E15" s="9">
        <v>6652</v>
      </c>
      <c r="F15" s="9">
        <v>6946</v>
      </c>
      <c r="G15" s="9">
        <v>21895</v>
      </c>
      <c r="H15" s="9">
        <v>14824</v>
      </c>
      <c r="I15" s="9">
        <v>36719</v>
      </c>
      <c r="J15" s="9">
        <v>9147</v>
      </c>
      <c r="K15" s="9">
        <v>8942</v>
      </c>
      <c r="L15" s="9">
        <v>18089</v>
      </c>
      <c r="M15" s="9">
        <v>4556</v>
      </c>
      <c r="N15" s="9">
        <v>6974</v>
      </c>
      <c r="O15" s="9">
        <v>11530</v>
      </c>
      <c r="P15" s="9">
        <v>3231</v>
      </c>
      <c r="Q15" s="9">
        <v>7763</v>
      </c>
      <c r="R15" s="9">
        <v>10994</v>
      </c>
      <c r="S15" s="9">
        <v>637</v>
      </c>
      <c r="T15" s="9">
        <v>682</v>
      </c>
      <c r="U15" s="9">
        <v>1319</v>
      </c>
      <c r="AP15" s="16">
        <f t="shared" si="6"/>
        <v>0</v>
      </c>
      <c r="AQ15" s="16">
        <f t="shared" si="7"/>
        <v>0</v>
      </c>
      <c r="AR15" s="16">
        <f t="shared" si="8"/>
        <v>0</v>
      </c>
      <c r="AS15" s="16">
        <f t="shared" si="9"/>
        <v>0</v>
      </c>
      <c r="AT15" s="16">
        <f t="shared" si="10"/>
        <v>0</v>
      </c>
      <c r="AU15" s="16">
        <f t="shared" si="11"/>
        <v>0</v>
      </c>
      <c r="AV15" s="16">
        <f t="shared" si="12"/>
        <v>0</v>
      </c>
      <c r="AW15" s="16">
        <f t="shared" si="13"/>
        <v>0</v>
      </c>
      <c r="AX15" s="16">
        <f t="shared" si="14"/>
        <v>0</v>
      </c>
      <c r="AY15" s="16">
        <f t="shared" si="15"/>
        <v>0</v>
      </c>
      <c r="AZ15" s="16">
        <f t="shared" si="16"/>
        <v>0</v>
      </c>
      <c r="BA15" s="16">
        <f t="shared" si="17"/>
        <v>0</v>
      </c>
      <c r="BB15" s="16">
        <f t="shared" si="18"/>
        <v>0</v>
      </c>
      <c r="BC15" s="16">
        <f t="shared" si="19"/>
        <v>0</v>
      </c>
      <c r="BD15" s="16">
        <f t="shared" si="20"/>
        <v>0</v>
      </c>
      <c r="BE15" s="16">
        <f t="shared" si="21"/>
        <v>0</v>
      </c>
      <c r="BF15" s="16">
        <f t="shared" si="22"/>
        <v>0</v>
      </c>
      <c r="BG15" s="16">
        <f t="shared" si="23"/>
        <v>0</v>
      </c>
    </row>
    <row r="16" spans="1:59" ht="14.25" customHeight="1">
      <c r="A16" s="3">
        <v>12</v>
      </c>
      <c r="B16" s="4">
        <v>32</v>
      </c>
      <c r="C16" s="5" t="s">
        <v>14</v>
      </c>
      <c r="D16" s="9">
        <v>891</v>
      </c>
      <c r="E16" s="9">
        <v>30602</v>
      </c>
      <c r="F16" s="9">
        <v>31493</v>
      </c>
      <c r="G16" s="9">
        <v>161466</v>
      </c>
      <c r="H16" s="9">
        <v>39176</v>
      </c>
      <c r="I16" s="9">
        <v>200642</v>
      </c>
      <c r="J16" s="9">
        <v>51887</v>
      </c>
      <c r="K16" s="9">
        <v>40863</v>
      </c>
      <c r="L16" s="9">
        <v>92750</v>
      </c>
      <c r="M16" s="9">
        <v>25998</v>
      </c>
      <c r="N16" s="9">
        <v>17725</v>
      </c>
      <c r="O16" s="9">
        <v>43723</v>
      </c>
      <c r="P16" s="9">
        <v>18483</v>
      </c>
      <c r="Q16" s="9">
        <v>37932</v>
      </c>
      <c r="R16" s="9">
        <v>56415</v>
      </c>
      <c r="S16" s="9">
        <v>1952</v>
      </c>
      <c r="T16" s="9">
        <v>2722</v>
      </c>
      <c r="U16" s="9">
        <v>4674</v>
      </c>
      <c r="AP16" s="16">
        <f t="shared" si="6"/>
        <v>0</v>
      </c>
      <c r="AQ16" s="16">
        <f t="shared" si="7"/>
        <v>0</v>
      </c>
      <c r="AR16" s="16">
        <f t="shared" si="8"/>
        <v>0</v>
      </c>
      <c r="AS16" s="16">
        <f t="shared" si="9"/>
        <v>0</v>
      </c>
      <c r="AT16" s="16">
        <f t="shared" si="10"/>
        <v>0</v>
      </c>
      <c r="AU16" s="16">
        <f t="shared" si="11"/>
        <v>0</v>
      </c>
      <c r="AV16" s="16">
        <f t="shared" si="12"/>
        <v>0</v>
      </c>
      <c r="AW16" s="16">
        <f t="shared" si="13"/>
        <v>0</v>
      </c>
      <c r="AX16" s="16">
        <f t="shared" si="14"/>
        <v>0</v>
      </c>
      <c r="AY16" s="16">
        <f t="shared" si="15"/>
        <v>0</v>
      </c>
      <c r="AZ16" s="16">
        <f t="shared" si="16"/>
        <v>0</v>
      </c>
      <c r="BA16" s="16">
        <f t="shared" si="17"/>
        <v>0</v>
      </c>
      <c r="BB16" s="16">
        <f t="shared" si="18"/>
        <v>0</v>
      </c>
      <c r="BC16" s="16">
        <f t="shared" si="19"/>
        <v>0</v>
      </c>
      <c r="BD16" s="16">
        <f t="shared" si="20"/>
        <v>0</v>
      </c>
      <c r="BE16" s="16">
        <f t="shared" si="21"/>
        <v>0</v>
      </c>
      <c r="BF16" s="16">
        <f t="shared" si="22"/>
        <v>0</v>
      </c>
      <c r="BG16" s="16">
        <f t="shared" si="23"/>
        <v>0</v>
      </c>
    </row>
    <row r="17" spans="1:59" ht="14.25" customHeight="1">
      <c r="A17" s="3">
        <v>13</v>
      </c>
      <c r="B17" s="4">
        <v>33</v>
      </c>
      <c r="C17" s="5" t="s">
        <v>15</v>
      </c>
      <c r="D17" s="9">
        <v>917</v>
      </c>
      <c r="E17" s="9">
        <v>31901</v>
      </c>
      <c r="F17" s="9">
        <v>32818</v>
      </c>
      <c r="G17" s="9">
        <v>135007</v>
      </c>
      <c r="H17" s="9">
        <v>18119</v>
      </c>
      <c r="I17" s="9">
        <v>153126</v>
      </c>
      <c r="J17" s="9">
        <v>48612</v>
      </c>
      <c r="K17" s="9">
        <v>17840</v>
      </c>
      <c r="L17" s="9">
        <v>66452</v>
      </c>
      <c r="M17" s="9">
        <v>18002</v>
      </c>
      <c r="N17" s="9">
        <v>7520</v>
      </c>
      <c r="O17" s="9">
        <v>25522</v>
      </c>
      <c r="P17" s="9">
        <v>16705</v>
      </c>
      <c r="Q17" s="9">
        <v>28436</v>
      </c>
      <c r="R17" s="9">
        <v>45141</v>
      </c>
      <c r="S17" s="9">
        <v>1139</v>
      </c>
      <c r="T17" s="9">
        <v>1501</v>
      </c>
      <c r="U17" s="9">
        <v>2640</v>
      </c>
      <c r="AP17" s="16">
        <f t="shared" si="6"/>
        <v>0</v>
      </c>
      <c r="AQ17" s="16">
        <f t="shared" si="7"/>
        <v>0</v>
      </c>
      <c r="AR17" s="16">
        <f t="shared" si="8"/>
        <v>0</v>
      </c>
      <c r="AS17" s="16">
        <f t="shared" si="9"/>
        <v>0</v>
      </c>
      <c r="AT17" s="16">
        <f t="shared" si="10"/>
        <v>0</v>
      </c>
      <c r="AU17" s="16">
        <f t="shared" si="11"/>
        <v>0</v>
      </c>
      <c r="AV17" s="16">
        <f t="shared" si="12"/>
        <v>0</v>
      </c>
      <c r="AW17" s="16">
        <f t="shared" si="13"/>
        <v>0</v>
      </c>
      <c r="AX17" s="16">
        <f t="shared" si="14"/>
        <v>0</v>
      </c>
      <c r="AY17" s="16">
        <f t="shared" si="15"/>
        <v>0</v>
      </c>
      <c r="AZ17" s="16">
        <f t="shared" si="16"/>
        <v>0</v>
      </c>
      <c r="BA17" s="16">
        <f t="shared" si="17"/>
        <v>0</v>
      </c>
      <c r="BB17" s="16">
        <f t="shared" si="18"/>
        <v>0</v>
      </c>
      <c r="BC17" s="16">
        <f t="shared" si="19"/>
        <v>0</v>
      </c>
      <c r="BD17" s="16">
        <f t="shared" si="20"/>
        <v>0</v>
      </c>
      <c r="BE17" s="16">
        <f t="shared" si="21"/>
        <v>0</v>
      </c>
      <c r="BF17" s="16">
        <f t="shared" si="22"/>
        <v>0</v>
      </c>
      <c r="BG17" s="16">
        <f t="shared" si="23"/>
        <v>0</v>
      </c>
    </row>
    <row r="18" spans="1:59" ht="14.25" customHeight="1">
      <c r="A18" s="3">
        <v>14</v>
      </c>
      <c r="B18" s="4">
        <v>34</v>
      </c>
      <c r="C18" s="5" t="s">
        <v>16</v>
      </c>
      <c r="D18" s="9">
        <v>278</v>
      </c>
      <c r="E18" s="9">
        <v>5218</v>
      </c>
      <c r="F18" s="9">
        <v>5496</v>
      </c>
      <c r="G18" s="9">
        <v>13084</v>
      </c>
      <c r="H18" s="9">
        <v>5443</v>
      </c>
      <c r="I18" s="9">
        <v>18527</v>
      </c>
      <c r="J18" s="9">
        <v>5236</v>
      </c>
      <c r="K18" s="9">
        <v>3100</v>
      </c>
      <c r="L18" s="9">
        <v>8336</v>
      </c>
      <c r="M18" s="9">
        <v>2382</v>
      </c>
      <c r="N18" s="9">
        <v>1531</v>
      </c>
      <c r="O18" s="9">
        <v>3913</v>
      </c>
      <c r="P18" s="9">
        <v>3011</v>
      </c>
      <c r="Q18" s="9">
        <v>2818</v>
      </c>
      <c r="R18" s="9">
        <v>5829</v>
      </c>
      <c r="S18" s="9">
        <v>334</v>
      </c>
      <c r="T18" s="9">
        <v>681</v>
      </c>
      <c r="U18" s="9">
        <v>1015</v>
      </c>
      <c r="AP18" s="16">
        <f t="shared" si="6"/>
        <v>0</v>
      </c>
      <c r="AQ18" s="16">
        <f t="shared" si="7"/>
        <v>0</v>
      </c>
      <c r="AR18" s="16">
        <f t="shared" si="8"/>
        <v>0</v>
      </c>
      <c r="AS18" s="16">
        <f t="shared" si="9"/>
        <v>0</v>
      </c>
      <c r="AT18" s="16">
        <f t="shared" si="10"/>
        <v>0</v>
      </c>
      <c r="AU18" s="16">
        <f t="shared" si="11"/>
        <v>0</v>
      </c>
      <c r="AV18" s="16">
        <f t="shared" si="12"/>
        <v>0</v>
      </c>
      <c r="AW18" s="16">
        <f t="shared" si="13"/>
        <v>0</v>
      </c>
      <c r="AX18" s="16">
        <f t="shared" si="14"/>
        <v>0</v>
      </c>
      <c r="AY18" s="16">
        <f t="shared" si="15"/>
        <v>0</v>
      </c>
      <c r="AZ18" s="16">
        <f t="shared" si="16"/>
        <v>0</v>
      </c>
      <c r="BA18" s="16">
        <f t="shared" si="17"/>
        <v>0</v>
      </c>
      <c r="BB18" s="16">
        <f t="shared" si="18"/>
        <v>0</v>
      </c>
      <c r="BC18" s="16">
        <f t="shared" si="19"/>
        <v>0</v>
      </c>
      <c r="BD18" s="16">
        <f t="shared" si="20"/>
        <v>0</v>
      </c>
      <c r="BE18" s="16">
        <f t="shared" si="21"/>
        <v>0</v>
      </c>
      <c r="BF18" s="16">
        <f t="shared" si="22"/>
        <v>0</v>
      </c>
      <c r="BG18" s="16">
        <f t="shared" si="23"/>
        <v>0</v>
      </c>
    </row>
    <row r="19" spans="1:59" ht="14.25" customHeight="1">
      <c r="A19" s="3">
        <v>15</v>
      </c>
      <c r="B19" s="4">
        <v>35</v>
      </c>
      <c r="C19" s="5" t="s">
        <v>17</v>
      </c>
      <c r="D19" s="9">
        <v>933</v>
      </c>
      <c r="E19" s="9">
        <v>48169</v>
      </c>
      <c r="F19" s="9">
        <v>49102</v>
      </c>
      <c r="G19" s="9">
        <v>140150</v>
      </c>
      <c r="H19" s="9">
        <v>24712</v>
      </c>
      <c r="I19" s="9">
        <v>164862</v>
      </c>
      <c r="J19" s="9">
        <v>44916</v>
      </c>
      <c r="K19" s="9">
        <v>30393</v>
      </c>
      <c r="L19" s="9">
        <v>75309</v>
      </c>
      <c r="M19" s="9">
        <v>19955</v>
      </c>
      <c r="N19" s="9">
        <v>13261</v>
      </c>
      <c r="O19" s="9">
        <v>33216</v>
      </c>
      <c r="P19" s="9">
        <v>20196</v>
      </c>
      <c r="Q19" s="9">
        <v>27556</v>
      </c>
      <c r="R19" s="9">
        <v>47752</v>
      </c>
      <c r="S19" s="9">
        <v>1199</v>
      </c>
      <c r="T19" s="9">
        <v>2572</v>
      </c>
      <c r="U19" s="9">
        <v>3771</v>
      </c>
      <c r="AP19" s="16">
        <f t="shared" si="6"/>
        <v>0</v>
      </c>
      <c r="AQ19" s="16">
        <f t="shared" si="7"/>
        <v>0</v>
      </c>
      <c r="AR19" s="16">
        <f t="shared" si="8"/>
        <v>0</v>
      </c>
      <c r="AS19" s="16">
        <f t="shared" si="9"/>
        <v>0</v>
      </c>
      <c r="AT19" s="16">
        <f t="shared" si="10"/>
        <v>0</v>
      </c>
      <c r="AU19" s="16">
        <f t="shared" si="11"/>
        <v>0</v>
      </c>
      <c r="AV19" s="16">
        <f t="shared" si="12"/>
        <v>0</v>
      </c>
      <c r="AW19" s="16">
        <f t="shared" si="13"/>
        <v>0</v>
      </c>
      <c r="AX19" s="16">
        <f t="shared" si="14"/>
        <v>0</v>
      </c>
      <c r="AY19" s="16">
        <f t="shared" si="15"/>
        <v>0</v>
      </c>
      <c r="AZ19" s="16">
        <f t="shared" si="16"/>
        <v>0</v>
      </c>
      <c r="BA19" s="16">
        <f t="shared" si="17"/>
        <v>0</v>
      </c>
      <c r="BB19" s="16">
        <f t="shared" si="18"/>
        <v>0</v>
      </c>
      <c r="BC19" s="16">
        <f t="shared" si="19"/>
        <v>0</v>
      </c>
      <c r="BD19" s="16">
        <f t="shared" si="20"/>
        <v>0</v>
      </c>
      <c r="BE19" s="16">
        <f t="shared" si="21"/>
        <v>0</v>
      </c>
      <c r="BF19" s="16">
        <f t="shared" si="22"/>
        <v>0</v>
      </c>
      <c r="BG19" s="16">
        <f t="shared" si="23"/>
        <v>0</v>
      </c>
    </row>
    <row r="20" spans="1:59" ht="14.25" customHeight="1">
      <c r="A20" s="3">
        <v>16</v>
      </c>
      <c r="B20" s="4">
        <v>36</v>
      </c>
      <c r="C20" s="5" t="s">
        <v>39</v>
      </c>
      <c r="D20" s="9">
        <v>532</v>
      </c>
      <c r="E20" s="9">
        <v>8735</v>
      </c>
      <c r="F20" s="9">
        <v>9267</v>
      </c>
      <c r="G20" s="9">
        <v>42948</v>
      </c>
      <c r="H20" s="9">
        <v>12637</v>
      </c>
      <c r="I20" s="9">
        <v>55585</v>
      </c>
      <c r="J20" s="9">
        <v>13719</v>
      </c>
      <c r="K20" s="9">
        <v>9445</v>
      </c>
      <c r="L20" s="9">
        <v>23164</v>
      </c>
      <c r="M20" s="9">
        <v>6925</v>
      </c>
      <c r="N20" s="9">
        <v>5857</v>
      </c>
      <c r="O20" s="9">
        <v>12782</v>
      </c>
      <c r="P20" s="9">
        <v>4994</v>
      </c>
      <c r="Q20" s="9">
        <v>8903</v>
      </c>
      <c r="R20" s="9">
        <v>13897</v>
      </c>
      <c r="S20" s="9">
        <v>365</v>
      </c>
      <c r="T20" s="9">
        <v>852</v>
      </c>
      <c r="U20" s="9">
        <v>1217</v>
      </c>
      <c r="AP20" s="16">
        <f t="shared" si="6"/>
        <v>0</v>
      </c>
      <c r="AQ20" s="16">
        <f t="shared" si="7"/>
        <v>0</v>
      </c>
      <c r="AR20" s="16">
        <f t="shared" si="8"/>
        <v>0</v>
      </c>
      <c r="AS20" s="16">
        <f t="shared" si="9"/>
        <v>0</v>
      </c>
      <c r="AT20" s="16">
        <f t="shared" si="10"/>
        <v>0</v>
      </c>
      <c r="AU20" s="16">
        <f t="shared" si="11"/>
        <v>0</v>
      </c>
      <c r="AV20" s="16">
        <f t="shared" si="12"/>
        <v>0</v>
      </c>
      <c r="AW20" s="16">
        <f t="shared" si="13"/>
        <v>0</v>
      </c>
      <c r="AX20" s="16">
        <f t="shared" si="14"/>
        <v>0</v>
      </c>
      <c r="AY20" s="16">
        <f t="shared" si="15"/>
        <v>0</v>
      </c>
      <c r="AZ20" s="16">
        <f t="shared" si="16"/>
        <v>0</v>
      </c>
      <c r="BA20" s="16">
        <f t="shared" si="17"/>
        <v>0</v>
      </c>
      <c r="BB20" s="16">
        <f t="shared" si="18"/>
        <v>0</v>
      </c>
      <c r="BC20" s="16">
        <f t="shared" si="19"/>
        <v>0</v>
      </c>
      <c r="BD20" s="16">
        <f t="shared" si="20"/>
        <v>0</v>
      </c>
      <c r="BE20" s="16">
        <f t="shared" si="21"/>
        <v>0</v>
      </c>
      <c r="BF20" s="16">
        <f t="shared" si="22"/>
        <v>0</v>
      </c>
      <c r="BG20" s="16">
        <f t="shared" si="23"/>
        <v>0</v>
      </c>
    </row>
    <row r="21" spans="1:59" ht="14.25" customHeight="1">
      <c r="A21" s="3">
        <v>17</v>
      </c>
      <c r="B21" s="4">
        <v>51</v>
      </c>
      <c r="C21" s="5" t="s">
        <v>34</v>
      </c>
      <c r="D21" s="9">
        <v>735</v>
      </c>
      <c r="E21" s="9">
        <v>4013</v>
      </c>
      <c r="F21" s="9">
        <v>4748</v>
      </c>
      <c r="G21" s="9">
        <v>19986</v>
      </c>
      <c r="H21" s="9">
        <v>2767</v>
      </c>
      <c r="I21" s="9">
        <v>22753</v>
      </c>
      <c r="J21" s="9">
        <v>8755</v>
      </c>
      <c r="K21" s="9">
        <v>1670</v>
      </c>
      <c r="L21" s="9">
        <v>10425</v>
      </c>
      <c r="M21" s="9">
        <v>4687</v>
      </c>
      <c r="N21" s="9">
        <v>991</v>
      </c>
      <c r="O21" s="9">
        <v>5678</v>
      </c>
      <c r="P21" s="9">
        <v>3563</v>
      </c>
      <c r="Q21" s="9">
        <v>2026</v>
      </c>
      <c r="R21" s="9">
        <v>5589</v>
      </c>
      <c r="S21" s="9">
        <v>409</v>
      </c>
      <c r="T21" s="9">
        <v>32</v>
      </c>
      <c r="U21" s="9">
        <v>441</v>
      </c>
      <c r="AP21" s="16">
        <f t="shared" si="6"/>
        <v>0</v>
      </c>
      <c r="AQ21" s="16">
        <f t="shared" si="7"/>
        <v>0</v>
      </c>
      <c r="AR21" s="16">
        <f t="shared" si="8"/>
        <v>0</v>
      </c>
      <c r="AS21" s="16">
        <f t="shared" si="9"/>
        <v>0</v>
      </c>
      <c r="AT21" s="16">
        <f t="shared" si="10"/>
        <v>0</v>
      </c>
      <c r="AU21" s="16">
        <f t="shared" si="11"/>
        <v>0</v>
      </c>
      <c r="AV21" s="16">
        <f t="shared" si="12"/>
        <v>0</v>
      </c>
      <c r="AW21" s="16">
        <f t="shared" si="13"/>
        <v>0</v>
      </c>
      <c r="AX21" s="16">
        <f t="shared" si="14"/>
        <v>0</v>
      </c>
      <c r="AY21" s="16">
        <f t="shared" si="15"/>
        <v>0</v>
      </c>
      <c r="AZ21" s="16">
        <f t="shared" si="16"/>
        <v>0</v>
      </c>
      <c r="BA21" s="16">
        <f t="shared" si="17"/>
        <v>0</v>
      </c>
      <c r="BB21" s="16">
        <f t="shared" si="18"/>
        <v>0</v>
      </c>
      <c r="BC21" s="16">
        <f t="shared" si="19"/>
        <v>0</v>
      </c>
      <c r="BD21" s="16">
        <f t="shared" si="20"/>
        <v>0</v>
      </c>
      <c r="BE21" s="16">
        <f t="shared" si="21"/>
        <v>0</v>
      </c>
      <c r="BF21" s="16">
        <f t="shared" si="22"/>
        <v>0</v>
      </c>
      <c r="BG21" s="16">
        <f t="shared" si="23"/>
        <v>0</v>
      </c>
    </row>
    <row r="22" spans="1:59" ht="14.25" customHeight="1">
      <c r="A22" s="3">
        <v>18</v>
      </c>
      <c r="B22" s="4">
        <v>52</v>
      </c>
      <c r="C22" s="5" t="s">
        <v>35</v>
      </c>
      <c r="D22" s="9">
        <v>2054</v>
      </c>
      <c r="E22" s="9">
        <v>6121</v>
      </c>
      <c r="F22" s="9">
        <v>8175</v>
      </c>
      <c r="G22" s="9">
        <v>40975</v>
      </c>
      <c r="H22" s="9">
        <v>3681</v>
      </c>
      <c r="I22" s="9">
        <v>44656</v>
      </c>
      <c r="J22" s="9">
        <v>17894</v>
      </c>
      <c r="K22" s="9">
        <v>4841</v>
      </c>
      <c r="L22" s="9">
        <v>22735</v>
      </c>
      <c r="M22" s="9">
        <v>7851</v>
      </c>
      <c r="N22" s="9">
        <v>2370</v>
      </c>
      <c r="O22" s="9">
        <v>10221</v>
      </c>
      <c r="P22" s="9">
        <v>5716</v>
      </c>
      <c r="Q22" s="9">
        <v>2646</v>
      </c>
      <c r="R22" s="9">
        <v>8362</v>
      </c>
      <c r="S22" s="9">
        <v>507</v>
      </c>
      <c r="T22" s="9">
        <v>325</v>
      </c>
      <c r="U22" s="9">
        <v>832</v>
      </c>
      <c r="AP22" s="16">
        <f t="shared" si="6"/>
        <v>0</v>
      </c>
      <c r="AQ22" s="16">
        <f t="shared" si="7"/>
        <v>0</v>
      </c>
      <c r="AR22" s="16">
        <f t="shared" si="8"/>
        <v>0</v>
      </c>
      <c r="AS22" s="16">
        <f t="shared" si="9"/>
        <v>0</v>
      </c>
      <c r="AT22" s="16">
        <f t="shared" si="10"/>
        <v>0</v>
      </c>
      <c r="AU22" s="16">
        <f t="shared" si="11"/>
        <v>0</v>
      </c>
      <c r="AV22" s="16">
        <f t="shared" si="12"/>
        <v>0</v>
      </c>
      <c r="AW22" s="16">
        <f t="shared" si="13"/>
        <v>0</v>
      </c>
      <c r="AX22" s="16">
        <f t="shared" si="14"/>
        <v>0</v>
      </c>
      <c r="AY22" s="16">
        <f t="shared" si="15"/>
        <v>0</v>
      </c>
      <c r="AZ22" s="16">
        <f t="shared" si="16"/>
        <v>0</v>
      </c>
      <c r="BA22" s="16">
        <f t="shared" si="17"/>
        <v>0</v>
      </c>
      <c r="BB22" s="16">
        <f t="shared" si="18"/>
        <v>0</v>
      </c>
      <c r="BC22" s="16">
        <f t="shared" si="19"/>
        <v>0</v>
      </c>
      <c r="BD22" s="16">
        <f t="shared" si="20"/>
        <v>0</v>
      </c>
      <c r="BE22" s="16">
        <f t="shared" si="21"/>
        <v>0</v>
      </c>
      <c r="BF22" s="16">
        <f t="shared" si="22"/>
        <v>0</v>
      </c>
      <c r="BG22" s="16">
        <f t="shared" si="23"/>
        <v>0</v>
      </c>
    </row>
    <row r="23" spans="1:59" ht="14.25" customHeight="1">
      <c r="A23" s="3">
        <v>19</v>
      </c>
      <c r="B23" s="4">
        <v>53</v>
      </c>
      <c r="C23" s="5" t="s">
        <v>36</v>
      </c>
      <c r="D23" s="9">
        <v>1346</v>
      </c>
      <c r="E23" s="9">
        <v>2832</v>
      </c>
      <c r="F23" s="9">
        <v>4178</v>
      </c>
      <c r="G23" s="9">
        <v>37098</v>
      </c>
      <c r="H23" s="9">
        <v>15598</v>
      </c>
      <c r="I23" s="9">
        <v>52696</v>
      </c>
      <c r="J23" s="9">
        <v>25448</v>
      </c>
      <c r="K23" s="9">
        <v>5592</v>
      </c>
      <c r="L23" s="9">
        <v>31040</v>
      </c>
      <c r="M23" s="9">
        <v>12391</v>
      </c>
      <c r="N23" s="9">
        <v>4235</v>
      </c>
      <c r="O23" s="9">
        <v>16626</v>
      </c>
      <c r="P23" s="9">
        <v>6281</v>
      </c>
      <c r="Q23" s="9">
        <v>3013</v>
      </c>
      <c r="R23" s="9">
        <v>9294</v>
      </c>
      <c r="S23" s="9">
        <v>621</v>
      </c>
      <c r="T23" s="9">
        <v>113</v>
      </c>
      <c r="U23" s="9">
        <v>734</v>
      </c>
      <c r="AP23" s="16">
        <f t="shared" si="6"/>
        <v>0</v>
      </c>
      <c r="AQ23" s="16">
        <f t="shared" si="7"/>
        <v>0</v>
      </c>
      <c r="AR23" s="16">
        <f t="shared" si="8"/>
        <v>0</v>
      </c>
      <c r="AS23" s="16">
        <f t="shared" si="9"/>
        <v>0</v>
      </c>
      <c r="AT23" s="16">
        <f t="shared" si="10"/>
        <v>0</v>
      </c>
      <c r="AU23" s="16">
        <f t="shared" si="11"/>
        <v>0</v>
      </c>
      <c r="AV23" s="16">
        <f t="shared" si="12"/>
        <v>0</v>
      </c>
      <c r="AW23" s="16">
        <f t="shared" si="13"/>
        <v>0</v>
      </c>
      <c r="AX23" s="16">
        <f t="shared" si="14"/>
        <v>0</v>
      </c>
      <c r="AY23" s="16">
        <f t="shared" si="15"/>
        <v>0</v>
      </c>
      <c r="AZ23" s="16">
        <f t="shared" si="16"/>
        <v>0</v>
      </c>
      <c r="BA23" s="16">
        <f t="shared" si="17"/>
        <v>0</v>
      </c>
      <c r="BB23" s="16">
        <f t="shared" si="18"/>
        <v>0</v>
      </c>
      <c r="BC23" s="16">
        <f t="shared" si="19"/>
        <v>0</v>
      </c>
      <c r="BD23" s="16">
        <f t="shared" si="20"/>
        <v>0</v>
      </c>
      <c r="BE23" s="16">
        <f t="shared" si="21"/>
        <v>0</v>
      </c>
      <c r="BF23" s="16">
        <f t="shared" si="22"/>
        <v>0</v>
      </c>
      <c r="BG23" s="16">
        <f t="shared" si="23"/>
        <v>0</v>
      </c>
    </row>
    <row r="24" spans="1:59" ht="14.25" customHeight="1">
      <c r="A24" s="3">
        <v>20</v>
      </c>
      <c r="B24" s="4">
        <v>61</v>
      </c>
      <c r="C24" s="5" t="s">
        <v>25</v>
      </c>
      <c r="D24" s="9">
        <v>794</v>
      </c>
      <c r="E24" s="9">
        <v>2688</v>
      </c>
      <c r="F24" s="9">
        <v>3482</v>
      </c>
      <c r="G24" s="9">
        <v>34140</v>
      </c>
      <c r="H24" s="9">
        <v>3545</v>
      </c>
      <c r="I24" s="9">
        <v>37685</v>
      </c>
      <c r="J24" s="9">
        <v>13383</v>
      </c>
      <c r="K24" s="9">
        <v>2600</v>
      </c>
      <c r="L24" s="9">
        <v>15983</v>
      </c>
      <c r="M24" s="9">
        <v>6727</v>
      </c>
      <c r="N24" s="9">
        <v>1829</v>
      </c>
      <c r="O24" s="9">
        <v>8556</v>
      </c>
      <c r="P24" s="9">
        <v>3677</v>
      </c>
      <c r="Q24" s="9">
        <v>1097</v>
      </c>
      <c r="R24" s="9">
        <v>4774</v>
      </c>
      <c r="S24" s="9">
        <v>162</v>
      </c>
      <c r="T24" s="9">
        <v>123</v>
      </c>
      <c r="U24" s="9">
        <v>285</v>
      </c>
      <c r="AP24" s="16">
        <f t="shared" si="6"/>
        <v>0</v>
      </c>
      <c r="AQ24" s="16">
        <f t="shared" si="7"/>
        <v>0</v>
      </c>
      <c r="AR24" s="16">
        <f t="shared" si="8"/>
        <v>0</v>
      </c>
      <c r="AS24" s="16">
        <f t="shared" si="9"/>
        <v>0</v>
      </c>
      <c r="AT24" s="16">
        <f t="shared" si="10"/>
        <v>0</v>
      </c>
      <c r="AU24" s="16">
        <f t="shared" si="11"/>
        <v>0</v>
      </c>
      <c r="AV24" s="16">
        <f t="shared" si="12"/>
        <v>0</v>
      </c>
      <c r="AW24" s="16">
        <f t="shared" si="13"/>
        <v>0</v>
      </c>
      <c r="AX24" s="16">
        <f t="shared" si="14"/>
        <v>0</v>
      </c>
      <c r="AY24" s="16">
        <f t="shared" si="15"/>
        <v>0</v>
      </c>
      <c r="AZ24" s="16">
        <f t="shared" si="16"/>
        <v>0</v>
      </c>
      <c r="BA24" s="16">
        <f t="shared" si="17"/>
        <v>0</v>
      </c>
      <c r="BB24" s="16">
        <f t="shared" si="18"/>
        <v>0</v>
      </c>
      <c r="BC24" s="16">
        <f t="shared" si="19"/>
        <v>0</v>
      </c>
      <c r="BD24" s="16">
        <f t="shared" si="20"/>
        <v>0</v>
      </c>
      <c r="BE24" s="16">
        <f t="shared" si="21"/>
        <v>0</v>
      </c>
      <c r="BF24" s="16">
        <f t="shared" si="22"/>
        <v>0</v>
      </c>
      <c r="BG24" s="16">
        <f t="shared" si="23"/>
        <v>0</v>
      </c>
    </row>
    <row r="25" spans="1:59" ht="14.25" customHeight="1">
      <c r="A25" s="3">
        <v>21</v>
      </c>
      <c r="B25" s="4">
        <v>62</v>
      </c>
      <c r="C25" s="5" t="s">
        <v>26</v>
      </c>
      <c r="D25" s="9">
        <v>871</v>
      </c>
      <c r="E25" s="9">
        <v>4511</v>
      </c>
      <c r="F25" s="9">
        <v>5382</v>
      </c>
      <c r="G25" s="9">
        <v>21633</v>
      </c>
      <c r="H25" s="9">
        <v>2639</v>
      </c>
      <c r="I25" s="9">
        <v>24272</v>
      </c>
      <c r="J25" s="9">
        <v>8576</v>
      </c>
      <c r="K25" s="9">
        <v>1356</v>
      </c>
      <c r="L25" s="9">
        <v>9932</v>
      </c>
      <c r="M25" s="9">
        <v>4363</v>
      </c>
      <c r="N25" s="9">
        <v>671</v>
      </c>
      <c r="O25" s="9">
        <v>5034</v>
      </c>
      <c r="P25" s="9">
        <v>2499</v>
      </c>
      <c r="Q25" s="9">
        <v>537</v>
      </c>
      <c r="R25" s="9">
        <v>3036</v>
      </c>
      <c r="S25" s="9">
        <v>387</v>
      </c>
      <c r="T25" s="9">
        <v>49</v>
      </c>
      <c r="U25" s="9">
        <v>436</v>
      </c>
      <c r="AP25" s="16">
        <f t="shared" si="6"/>
        <v>0</v>
      </c>
      <c r="AQ25" s="16">
        <f t="shared" si="7"/>
        <v>0</v>
      </c>
      <c r="AR25" s="16">
        <f t="shared" si="8"/>
        <v>0</v>
      </c>
      <c r="AS25" s="16">
        <f t="shared" si="9"/>
        <v>0</v>
      </c>
      <c r="AT25" s="16">
        <f t="shared" si="10"/>
        <v>0</v>
      </c>
      <c r="AU25" s="16">
        <f t="shared" si="11"/>
        <v>0</v>
      </c>
      <c r="AV25" s="16">
        <f t="shared" si="12"/>
        <v>0</v>
      </c>
      <c r="AW25" s="16">
        <f t="shared" si="13"/>
        <v>0</v>
      </c>
      <c r="AX25" s="16">
        <f t="shared" si="14"/>
        <v>0</v>
      </c>
      <c r="AY25" s="16">
        <f t="shared" si="15"/>
        <v>0</v>
      </c>
      <c r="AZ25" s="16">
        <f t="shared" si="16"/>
        <v>0</v>
      </c>
      <c r="BA25" s="16">
        <f t="shared" si="17"/>
        <v>0</v>
      </c>
      <c r="BB25" s="16">
        <f t="shared" si="18"/>
        <v>0</v>
      </c>
      <c r="BC25" s="16">
        <f t="shared" si="19"/>
        <v>0</v>
      </c>
      <c r="BD25" s="16">
        <f t="shared" si="20"/>
        <v>0</v>
      </c>
      <c r="BE25" s="16">
        <f t="shared" si="21"/>
        <v>0</v>
      </c>
      <c r="BF25" s="16">
        <f t="shared" si="22"/>
        <v>0</v>
      </c>
      <c r="BG25" s="16">
        <f t="shared" si="23"/>
        <v>0</v>
      </c>
    </row>
    <row r="26" spans="1:59" ht="14.25" customHeight="1">
      <c r="A26" s="3">
        <v>22</v>
      </c>
      <c r="B26" s="4">
        <v>63</v>
      </c>
      <c r="C26" s="5" t="s">
        <v>27</v>
      </c>
      <c r="D26" s="9">
        <v>1841</v>
      </c>
      <c r="E26" s="9">
        <v>5969</v>
      </c>
      <c r="F26" s="9">
        <v>7810</v>
      </c>
      <c r="G26" s="9">
        <v>25086</v>
      </c>
      <c r="H26" s="9">
        <v>2373</v>
      </c>
      <c r="I26" s="9">
        <v>27459</v>
      </c>
      <c r="J26" s="9">
        <v>7943</v>
      </c>
      <c r="K26" s="9">
        <v>1158</v>
      </c>
      <c r="L26" s="9">
        <v>9101</v>
      </c>
      <c r="M26" s="9">
        <v>4235</v>
      </c>
      <c r="N26" s="9">
        <v>772</v>
      </c>
      <c r="O26" s="9">
        <v>5007</v>
      </c>
      <c r="P26" s="9">
        <v>3073</v>
      </c>
      <c r="Q26" s="9">
        <v>1052</v>
      </c>
      <c r="R26" s="9">
        <v>4125</v>
      </c>
      <c r="S26" s="9">
        <v>691</v>
      </c>
      <c r="T26" s="9">
        <v>51</v>
      </c>
      <c r="U26" s="9">
        <v>742</v>
      </c>
      <c r="AP26" s="16">
        <f t="shared" si="6"/>
        <v>0</v>
      </c>
      <c r="AQ26" s="16">
        <f t="shared" si="7"/>
        <v>0</v>
      </c>
      <c r="AR26" s="16">
        <f t="shared" si="8"/>
        <v>0</v>
      </c>
      <c r="AS26" s="16">
        <f t="shared" si="9"/>
        <v>0</v>
      </c>
      <c r="AT26" s="16">
        <f t="shared" si="10"/>
        <v>0</v>
      </c>
      <c r="AU26" s="16">
        <f t="shared" si="11"/>
        <v>0</v>
      </c>
      <c r="AV26" s="16">
        <f t="shared" si="12"/>
        <v>0</v>
      </c>
      <c r="AW26" s="16">
        <f t="shared" si="13"/>
        <v>0</v>
      </c>
      <c r="AX26" s="16">
        <f t="shared" si="14"/>
        <v>0</v>
      </c>
      <c r="AY26" s="16">
        <f t="shared" si="15"/>
        <v>0</v>
      </c>
      <c r="AZ26" s="16">
        <f t="shared" si="16"/>
        <v>0</v>
      </c>
      <c r="BA26" s="16">
        <f t="shared" si="17"/>
        <v>0</v>
      </c>
      <c r="BB26" s="16">
        <f t="shared" si="18"/>
        <v>0</v>
      </c>
      <c r="BC26" s="16">
        <f t="shared" si="19"/>
        <v>0</v>
      </c>
      <c r="BD26" s="16">
        <f t="shared" si="20"/>
        <v>0</v>
      </c>
      <c r="BE26" s="16">
        <f t="shared" si="21"/>
        <v>0</v>
      </c>
      <c r="BF26" s="16">
        <f t="shared" si="22"/>
        <v>0</v>
      </c>
      <c r="BG26" s="16">
        <f t="shared" si="23"/>
        <v>0</v>
      </c>
    </row>
    <row r="27" spans="1:59" ht="14.25" customHeight="1">
      <c r="A27" s="3">
        <v>23</v>
      </c>
      <c r="B27" s="4">
        <v>64</v>
      </c>
      <c r="C27" s="5" t="s">
        <v>28</v>
      </c>
      <c r="D27" s="9">
        <v>800</v>
      </c>
      <c r="E27" s="9">
        <v>4393</v>
      </c>
      <c r="F27" s="9">
        <v>5193</v>
      </c>
      <c r="G27" s="9">
        <v>21912</v>
      </c>
      <c r="H27" s="9">
        <v>4074</v>
      </c>
      <c r="I27" s="9">
        <v>25986</v>
      </c>
      <c r="J27" s="9">
        <v>8736</v>
      </c>
      <c r="K27" s="9">
        <v>2311</v>
      </c>
      <c r="L27" s="9">
        <v>11047</v>
      </c>
      <c r="M27" s="9">
        <v>4467</v>
      </c>
      <c r="N27" s="9">
        <v>1110</v>
      </c>
      <c r="O27" s="9">
        <v>5577</v>
      </c>
      <c r="P27" s="9">
        <v>3557</v>
      </c>
      <c r="Q27" s="9">
        <v>1775</v>
      </c>
      <c r="R27" s="9">
        <v>5332</v>
      </c>
      <c r="S27" s="9">
        <v>298</v>
      </c>
      <c r="T27" s="9">
        <v>167</v>
      </c>
      <c r="U27" s="9">
        <v>465</v>
      </c>
      <c r="AP27" s="16">
        <f t="shared" si="6"/>
        <v>0</v>
      </c>
      <c r="AQ27" s="16">
        <f t="shared" si="7"/>
        <v>0</v>
      </c>
      <c r="AR27" s="16">
        <f t="shared" si="8"/>
        <v>0</v>
      </c>
      <c r="AS27" s="16">
        <f t="shared" si="9"/>
        <v>0</v>
      </c>
      <c r="AT27" s="16">
        <f t="shared" si="10"/>
        <v>0</v>
      </c>
      <c r="AU27" s="16">
        <f t="shared" si="11"/>
        <v>0</v>
      </c>
      <c r="AV27" s="16">
        <f t="shared" si="12"/>
        <v>0</v>
      </c>
      <c r="AW27" s="16">
        <f t="shared" si="13"/>
        <v>0</v>
      </c>
      <c r="AX27" s="16">
        <f t="shared" si="14"/>
        <v>0</v>
      </c>
      <c r="AY27" s="16">
        <f t="shared" si="15"/>
        <v>0</v>
      </c>
      <c r="AZ27" s="16">
        <f t="shared" si="16"/>
        <v>0</v>
      </c>
      <c r="BA27" s="16">
        <f t="shared" si="17"/>
        <v>0</v>
      </c>
      <c r="BB27" s="16">
        <f t="shared" si="18"/>
        <v>0</v>
      </c>
      <c r="BC27" s="16">
        <f t="shared" si="19"/>
        <v>0</v>
      </c>
      <c r="BD27" s="16">
        <f t="shared" si="20"/>
        <v>0</v>
      </c>
      <c r="BE27" s="16">
        <f t="shared" si="21"/>
        <v>0</v>
      </c>
      <c r="BF27" s="16">
        <f t="shared" si="22"/>
        <v>0</v>
      </c>
      <c r="BG27" s="16">
        <f t="shared" si="23"/>
        <v>0</v>
      </c>
    </row>
    <row r="28" spans="1:59" ht="14.25" customHeight="1">
      <c r="A28" s="3">
        <v>24</v>
      </c>
      <c r="B28" s="4">
        <v>65</v>
      </c>
      <c r="C28" s="5" t="s">
        <v>44</v>
      </c>
      <c r="D28" s="9">
        <v>186</v>
      </c>
      <c r="E28" s="9">
        <v>590</v>
      </c>
      <c r="F28" s="9">
        <v>776</v>
      </c>
      <c r="G28" s="9">
        <v>5086</v>
      </c>
      <c r="H28" s="9">
        <v>661</v>
      </c>
      <c r="I28" s="9">
        <v>5747</v>
      </c>
      <c r="J28" s="9">
        <v>2421</v>
      </c>
      <c r="K28" s="9">
        <v>363</v>
      </c>
      <c r="L28" s="9">
        <v>2784</v>
      </c>
      <c r="M28" s="9">
        <v>1192</v>
      </c>
      <c r="N28" s="9">
        <v>254</v>
      </c>
      <c r="O28" s="9">
        <v>1446</v>
      </c>
      <c r="P28" s="9">
        <v>753</v>
      </c>
      <c r="Q28" s="9">
        <v>130</v>
      </c>
      <c r="R28" s="9">
        <v>883</v>
      </c>
      <c r="S28" s="9">
        <v>92</v>
      </c>
      <c r="T28" s="9">
        <v>5</v>
      </c>
      <c r="U28" s="9">
        <v>97</v>
      </c>
      <c r="AP28" s="16">
        <f t="shared" si="6"/>
        <v>0</v>
      </c>
      <c r="AQ28" s="16">
        <f t="shared" si="7"/>
        <v>0</v>
      </c>
      <c r="AR28" s="16">
        <f t="shared" si="8"/>
        <v>0</v>
      </c>
      <c r="AS28" s="16">
        <f t="shared" si="9"/>
        <v>0</v>
      </c>
      <c r="AT28" s="16">
        <f t="shared" si="10"/>
        <v>0</v>
      </c>
      <c r="AU28" s="16">
        <f t="shared" si="11"/>
        <v>0</v>
      </c>
      <c r="AV28" s="16">
        <f t="shared" si="12"/>
        <v>0</v>
      </c>
      <c r="AW28" s="16">
        <f t="shared" si="13"/>
        <v>0</v>
      </c>
      <c r="AX28" s="16">
        <f t="shared" si="14"/>
        <v>0</v>
      </c>
      <c r="AY28" s="16">
        <f t="shared" si="15"/>
        <v>0</v>
      </c>
      <c r="AZ28" s="16">
        <f t="shared" si="16"/>
        <v>0</v>
      </c>
      <c r="BA28" s="16">
        <f t="shared" si="17"/>
        <v>0</v>
      </c>
      <c r="BB28" s="16">
        <f t="shared" si="18"/>
        <v>0</v>
      </c>
      <c r="BC28" s="16">
        <f t="shared" si="19"/>
        <v>0</v>
      </c>
      <c r="BD28" s="16">
        <f t="shared" si="20"/>
        <v>0</v>
      </c>
      <c r="BE28" s="16">
        <f t="shared" si="21"/>
        <v>0</v>
      </c>
      <c r="BF28" s="16">
        <f t="shared" si="22"/>
        <v>0</v>
      </c>
      <c r="BG28" s="16">
        <f t="shared" si="23"/>
        <v>0</v>
      </c>
    </row>
    <row r="29" spans="1:59" ht="14.25" customHeight="1">
      <c r="A29" s="3">
        <v>25</v>
      </c>
      <c r="B29" s="4">
        <v>71</v>
      </c>
      <c r="C29" s="5" t="s">
        <v>29</v>
      </c>
      <c r="D29" s="9">
        <v>577</v>
      </c>
      <c r="E29" s="9">
        <v>1978</v>
      </c>
      <c r="F29" s="9">
        <v>2555</v>
      </c>
      <c r="G29" s="9">
        <v>13432</v>
      </c>
      <c r="H29" s="9">
        <v>5116</v>
      </c>
      <c r="I29" s="9">
        <v>18548</v>
      </c>
      <c r="J29" s="9">
        <v>7904</v>
      </c>
      <c r="K29" s="9">
        <v>1663</v>
      </c>
      <c r="L29" s="9">
        <v>9567</v>
      </c>
      <c r="M29" s="9">
        <v>3446</v>
      </c>
      <c r="N29" s="9">
        <v>825</v>
      </c>
      <c r="O29" s="9">
        <v>4271</v>
      </c>
      <c r="P29" s="9">
        <v>2959</v>
      </c>
      <c r="Q29" s="9">
        <v>853</v>
      </c>
      <c r="R29" s="9">
        <v>3812</v>
      </c>
      <c r="S29" s="9">
        <v>86</v>
      </c>
      <c r="T29" s="9">
        <v>173</v>
      </c>
      <c r="U29" s="9">
        <v>259</v>
      </c>
      <c r="AP29" s="16">
        <f t="shared" si="6"/>
        <v>0</v>
      </c>
      <c r="AQ29" s="16">
        <f t="shared" si="7"/>
        <v>0</v>
      </c>
      <c r="AR29" s="16">
        <f t="shared" si="8"/>
        <v>0</v>
      </c>
      <c r="AS29" s="16">
        <f t="shared" si="9"/>
        <v>0</v>
      </c>
      <c r="AT29" s="16">
        <f t="shared" si="10"/>
        <v>0</v>
      </c>
      <c r="AU29" s="16">
        <f t="shared" si="11"/>
        <v>0</v>
      </c>
      <c r="AV29" s="16">
        <f t="shared" si="12"/>
        <v>0</v>
      </c>
      <c r="AW29" s="16">
        <f t="shared" si="13"/>
        <v>0</v>
      </c>
      <c r="AX29" s="16">
        <f t="shared" si="14"/>
        <v>0</v>
      </c>
      <c r="AY29" s="16">
        <f t="shared" si="15"/>
        <v>0</v>
      </c>
      <c r="AZ29" s="16">
        <f t="shared" si="16"/>
        <v>0</v>
      </c>
      <c r="BA29" s="16">
        <f t="shared" si="17"/>
        <v>0</v>
      </c>
      <c r="BB29" s="16">
        <f t="shared" si="18"/>
        <v>0</v>
      </c>
      <c r="BC29" s="16">
        <f t="shared" si="19"/>
        <v>0</v>
      </c>
      <c r="BD29" s="16">
        <f t="shared" si="20"/>
        <v>0</v>
      </c>
      <c r="BE29" s="16">
        <f t="shared" si="21"/>
        <v>0</v>
      </c>
      <c r="BF29" s="16">
        <f t="shared" si="22"/>
        <v>0</v>
      </c>
      <c r="BG29" s="16">
        <f t="shared" si="23"/>
        <v>0</v>
      </c>
    </row>
    <row r="30" spans="1:59" ht="14.25" customHeight="1">
      <c r="A30" s="3">
        <v>26</v>
      </c>
      <c r="B30" s="4">
        <v>72</v>
      </c>
      <c r="C30" s="5" t="s">
        <v>30</v>
      </c>
      <c r="D30" s="9">
        <v>1395</v>
      </c>
      <c r="E30" s="9">
        <v>4517</v>
      </c>
      <c r="F30" s="9">
        <v>5912</v>
      </c>
      <c r="G30" s="9">
        <v>25025</v>
      </c>
      <c r="H30" s="9">
        <v>2072</v>
      </c>
      <c r="I30" s="9">
        <v>27097</v>
      </c>
      <c r="J30" s="9">
        <v>10586</v>
      </c>
      <c r="K30" s="9">
        <v>914</v>
      </c>
      <c r="L30" s="9">
        <v>11500</v>
      </c>
      <c r="M30" s="9">
        <v>5123</v>
      </c>
      <c r="N30" s="9">
        <v>593</v>
      </c>
      <c r="O30" s="9">
        <v>5716</v>
      </c>
      <c r="P30" s="9">
        <v>3151</v>
      </c>
      <c r="Q30" s="9">
        <v>743</v>
      </c>
      <c r="R30" s="9">
        <v>3894</v>
      </c>
      <c r="S30" s="9">
        <v>186</v>
      </c>
      <c r="T30" s="9">
        <v>102</v>
      </c>
      <c r="U30" s="9">
        <v>288</v>
      </c>
      <c r="AP30" s="16">
        <f t="shared" si="6"/>
        <v>0</v>
      </c>
      <c r="AQ30" s="16">
        <f t="shared" si="7"/>
        <v>0</v>
      </c>
      <c r="AR30" s="16">
        <f t="shared" si="8"/>
        <v>0</v>
      </c>
      <c r="AS30" s="16">
        <f t="shared" si="9"/>
        <v>0</v>
      </c>
      <c r="AT30" s="16">
        <f t="shared" si="10"/>
        <v>0</v>
      </c>
      <c r="AU30" s="16">
        <f t="shared" si="11"/>
        <v>0</v>
      </c>
      <c r="AV30" s="16">
        <f t="shared" si="12"/>
        <v>0</v>
      </c>
      <c r="AW30" s="16">
        <f t="shared" si="13"/>
        <v>0</v>
      </c>
      <c r="AX30" s="16">
        <f t="shared" si="14"/>
        <v>0</v>
      </c>
      <c r="AY30" s="16">
        <f t="shared" si="15"/>
        <v>0</v>
      </c>
      <c r="AZ30" s="16">
        <f t="shared" si="16"/>
        <v>0</v>
      </c>
      <c r="BA30" s="16">
        <f t="shared" si="17"/>
        <v>0</v>
      </c>
      <c r="BB30" s="16">
        <f t="shared" si="18"/>
        <v>0</v>
      </c>
      <c r="BC30" s="16">
        <f t="shared" si="19"/>
        <v>0</v>
      </c>
      <c r="BD30" s="16">
        <f t="shared" si="20"/>
        <v>0</v>
      </c>
      <c r="BE30" s="16">
        <f t="shared" si="21"/>
        <v>0</v>
      </c>
      <c r="BF30" s="16">
        <f t="shared" si="22"/>
        <v>0</v>
      </c>
      <c r="BG30" s="16">
        <f t="shared" si="23"/>
        <v>0</v>
      </c>
    </row>
    <row r="31" spans="1:59" ht="14.25" customHeight="1">
      <c r="A31" s="3">
        <v>27</v>
      </c>
      <c r="B31" s="4">
        <v>73</v>
      </c>
      <c r="C31" s="5" t="s">
        <v>31</v>
      </c>
      <c r="D31" s="9">
        <v>1918</v>
      </c>
      <c r="E31" s="9">
        <v>10545</v>
      </c>
      <c r="F31" s="9">
        <v>12463</v>
      </c>
      <c r="G31" s="9">
        <v>60688</v>
      </c>
      <c r="H31" s="9">
        <v>5566</v>
      </c>
      <c r="I31" s="9">
        <v>66254</v>
      </c>
      <c r="J31" s="9">
        <v>23875</v>
      </c>
      <c r="K31" s="9">
        <v>4318</v>
      </c>
      <c r="L31" s="9">
        <v>28193</v>
      </c>
      <c r="M31" s="9">
        <v>12664</v>
      </c>
      <c r="N31" s="9">
        <v>2843</v>
      </c>
      <c r="O31" s="9">
        <v>15507</v>
      </c>
      <c r="P31" s="9">
        <v>7473</v>
      </c>
      <c r="Q31" s="9">
        <v>2462</v>
      </c>
      <c r="R31" s="9">
        <v>9935</v>
      </c>
      <c r="S31" s="9">
        <v>513</v>
      </c>
      <c r="T31" s="9">
        <v>559</v>
      </c>
      <c r="U31" s="9">
        <v>1072</v>
      </c>
      <c r="AP31" s="16">
        <f t="shared" si="6"/>
        <v>0</v>
      </c>
      <c r="AQ31" s="16">
        <f t="shared" si="7"/>
        <v>0</v>
      </c>
      <c r="AR31" s="16">
        <f t="shared" si="8"/>
        <v>0</v>
      </c>
      <c r="AS31" s="16">
        <f t="shared" si="9"/>
        <v>0</v>
      </c>
      <c r="AT31" s="16">
        <f t="shared" si="10"/>
        <v>0</v>
      </c>
      <c r="AU31" s="16">
        <f t="shared" si="11"/>
        <v>0</v>
      </c>
      <c r="AV31" s="16">
        <f t="shared" si="12"/>
        <v>0</v>
      </c>
      <c r="AW31" s="16">
        <f t="shared" si="13"/>
        <v>0</v>
      </c>
      <c r="AX31" s="16">
        <f t="shared" si="14"/>
        <v>0</v>
      </c>
      <c r="AY31" s="16">
        <f t="shared" si="15"/>
        <v>0</v>
      </c>
      <c r="AZ31" s="16">
        <f t="shared" si="16"/>
        <v>0</v>
      </c>
      <c r="BA31" s="16">
        <f t="shared" si="17"/>
        <v>0</v>
      </c>
      <c r="BB31" s="16">
        <f t="shared" si="18"/>
        <v>0</v>
      </c>
      <c r="BC31" s="16">
        <f t="shared" si="19"/>
        <v>0</v>
      </c>
      <c r="BD31" s="16">
        <f t="shared" si="20"/>
        <v>0</v>
      </c>
      <c r="BE31" s="16">
        <f t="shared" si="21"/>
        <v>0</v>
      </c>
      <c r="BF31" s="16">
        <f t="shared" si="22"/>
        <v>0</v>
      </c>
      <c r="BG31" s="16">
        <f t="shared" si="23"/>
        <v>0</v>
      </c>
    </row>
    <row r="32" spans="1:59" ht="14.25" customHeight="1">
      <c r="A32" s="3">
        <v>28</v>
      </c>
      <c r="B32" s="4">
        <v>74</v>
      </c>
      <c r="C32" s="5" t="s">
        <v>32</v>
      </c>
      <c r="D32" s="9">
        <v>2143</v>
      </c>
      <c r="E32" s="9">
        <v>3836</v>
      </c>
      <c r="F32" s="9">
        <v>5979</v>
      </c>
      <c r="G32" s="9">
        <v>26764</v>
      </c>
      <c r="H32" s="9">
        <v>1009</v>
      </c>
      <c r="I32" s="9">
        <v>27773</v>
      </c>
      <c r="J32" s="9">
        <v>13367</v>
      </c>
      <c r="K32" s="9">
        <v>787</v>
      </c>
      <c r="L32" s="9">
        <v>14154</v>
      </c>
      <c r="M32" s="9">
        <v>8569</v>
      </c>
      <c r="N32" s="9">
        <v>547</v>
      </c>
      <c r="O32" s="9">
        <v>9116</v>
      </c>
      <c r="P32" s="9">
        <v>3810</v>
      </c>
      <c r="Q32" s="9">
        <v>719</v>
      </c>
      <c r="R32" s="9">
        <v>4529</v>
      </c>
      <c r="S32" s="9">
        <v>211</v>
      </c>
      <c r="T32" s="9">
        <v>443</v>
      </c>
      <c r="U32" s="9">
        <v>654</v>
      </c>
      <c r="AP32" s="16">
        <f t="shared" si="6"/>
        <v>0</v>
      </c>
      <c r="AQ32" s="16">
        <f t="shared" si="7"/>
        <v>0</v>
      </c>
      <c r="AR32" s="16">
        <f t="shared" si="8"/>
        <v>0</v>
      </c>
      <c r="AS32" s="16">
        <f t="shared" si="9"/>
        <v>0</v>
      </c>
      <c r="AT32" s="16">
        <f t="shared" si="10"/>
        <v>0</v>
      </c>
      <c r="AU32" s="16">
        <f t="shared" si="11"/>
        <v>0</v>
      </c>
      <c r="AV32" s="16">
        <f t="shared" si="12"/>
        <v>0</v>
      </c>
      <c r="AW32" s="16">
        <f t="shared" si="13"/>
        <v>0</v>
      </c>
      <c r="AX32" s="16">
        <f t="shared" si="14"/>
        <v>0</v>
      </c>
      <c r="AY32" s="16">
        <f t="shared" si="15"/>
        <v>0</v>
      </c>
      <c r="AZ32" s="16">
        <f t="shared" si="16"/>
        <v>0</v>
      </c>
      <c r="BA32" s="16">
        <f t="shared" si="17"/>
        <v>0</v>
      </c>
      <c r="BB32" s="16">
        <f t="shared" si="18"/>
        <v>0</v>
      </c>
      <c r="BC32" s="16">
        <f t="shared" si="19"/>
        <v>0</v>
      </c>
      <c r="BD32" s="16">
        <f t="shared" si="20"/>
        <v>0</v>
      </c>
      <c r="BE32" s="16">
        <f t="shared" si="21"/>
        <v>0</v>
      </c>
      <c r="BF32" s="16">
        <f t="shared" si="22"/>
        <v>0</v>
      </c>
      <c r="BG32" s="16">
        <f t="shared" si="23"/>
        <v>0</v>
      </c>
    </row>
    <row r="33" spans="1:59" ht="14.25" customHeight="1">
      <c r="A33" s="3">
        <v>29</v>
      </c>
      <c r="B33" s="4">
        <v>75</v>
      </c>
      <c r="C33" s="5" t="s">
        <v>41</v>
      </c>
      <c r="D33" s="9">
        <v>1264</v>
      </c>
      <c r="E33" s="9">
        <v>816</v>
      </c>
      <c r="F33" s="9">
        <v>2080</v>
      </c>
      <c r="G33" s="9">
        <v>7623</v>
      </c>
      <c r="H33" s="9">
        <v>391</v>
      </c>
      <c r="I33" s="9">
        <v>8014</v>
      </c>
      <c r="J33" s="9">
        <v>3889</v>
      </c>
      <c r="K33" s="9">
        <v>249</v>
      </c>
      <c r="L33" s="9">
        <v>4138</v>
      </c>
      <c r="M33" s="9">
        <v>1818</v>
      </c>
      <c r="N33" s="9">
        <v>115</v>
      </c>
      <c r="O33" s="9">
        <v>1933</v>
      </c>
      <c r="P33" s="9">
        <v>1384</v>
      </c>
      <c r="Q33" s="9">
        <v>271</v>
      </c>
      <c r="R33" s="9">
        <v>1655</v>
      </c>
      <c r="S33" s="9">
        <v>190</v>
      </c>
      <c r="T33" s="9">
        <v>0</v>
      </c>
      <c r="U33" s="9">
        <v>190</v>
      </c>
      <c r="AP33" s="16">
        <f t="shared" si="6"/>
        <v>0</v>
      </c>
      <c r="AQ33" s="16">
        <f t="shared" si="7"/>
        <v>0</v>
      </c>
      <c r="AR33" s="16">
        <f t="shared" si="8"/>
        <v>0</v>
      </c>
      <c r="AS33" s="16">
        <f t="shared" si="9"/>
        <v>0</v>
      </c>
      <c r="AT33" s="16">
        <f t="shared" si="10"/>
        <v>0</v>
      </c>
      <c r="AU33" s="16">
        <f t="shared" si="11"/>
        <v>0</v>
      </c>
      <c r="AV33" s="16">
        <f t="shared" ref="AV33:AV44" si="24">AC33/J33*100</f>
        <v>0</v>
      </c>
      <c r="AW33" s="16">
        <f t="shared" ref="AW33:AW44" si="25">AD33/K33*100</f>
        <v>0</v>
      </c>
      <c r="AX33" s="16">
        <f t="shared" ref="AX33:AX44" si="26">AE33/L33*100</f>
        <v>0</v>
      </c>
      <c r="AY33" s="16">
        <f t="shared" ref="AY33:AY44" si="27">AF33/M33*100</f>
        <v>0</v>
      </c>
      <c r="AZ33" s="16">
        <f t="shared" ref="AZ33:AZ44" si="28">AG33/N33*100</f>
        <v>0</v>
      </c>
      <c r="BA33" s="16">
        <f t="shared" ref="BA33:BA44" si="29">AH33/O33*100</f>
        <v>0</v>
      </c>
      <c r="BB33" s="16">
        <f t="shared" ref="BB33:BB44" si="30">AI33/P33*100</f>
        <v>0</v>
      </c>
      <c r="BC33" s="16">
        <f t="shared" ref="BC33:BC44" si="31">AJ33/Q33*100</f>
        <v>0</v>
      </c>
      <c r="BD33" s="16">
        <f t="shared" ref="BD33:BD44" si="32">AK33/R33*100</f>
        <v>0</v>
      </c>
      <c r="BE33" s="16">
        <f t="shared" ref="BE33:BE44" si="33">AL33/S33*100</f>
        <v>0</v>
      </c>
      <c r="BF33" s="16" t="e">
        <f t="shared" ref="BF33:BF44" si="34">AM33/T33*100</f>
        <v>#DIV/0!</v>
      </c>
      <c r="BG33" s="16">
        <f t="shared" ref="BG33:BG44" si="35">AN33/U33*100</f>
        <v>0</v>
      </c>
    </row>
    <row r="34" spans="1:59" ht="14.25" customHeight="1">
      <c r="A34" s="3">
        <v>30</v>
      </c>
      <c r="B34" s="4">
        <v>76</v>
      </c>
      <c r="C34" s="5" t="s">
        <v>43</v>
      </c>
      <c r="D34" s="9">
        <v>733</v>
      </c>
      <c r="E34" s="9">
        <v>1578</v>
      </c>
      <c r="F34" s="9">
        <v>2311</v>
      </c>
      <c r="G34" s="9">
        <v>13996</v>
      </c>
      <c r="H34" s="9">
        <v>360</v>
      </c>
      <c r="I34" s="9">
        <v>14356</v>
      </c>
      <c r="J34" s="9">
        <v>5134</v>
      </c>
      <c r="K34" s="9">
        <v>491</v>
      </c>
      <c r="L34" s="9">
        <v>5625</v>
      </c>
      <c r="M34" s="9">
        <v>2298</v>
      </c>
      <c r="N34" s="9">
        <v>100</v>
      </c>
      <c r="O34" s="9">
        <v>2398</v>
      </c>
      <c r="P34" s="9">
        <v>1912</v>
      </c>
      <c r="Q34" s="9">
        <v>558</v>
      </c>
      <c r="R34" s="9">
        <v>2470</v>
      </c>
      <c r="S34" s="9">
        <v>201</v>
      </c>
      <c r="T34" s="9">
        <v>57</v>
      </c>
      <c r="U34" s="9">
        <v>258</v>
      </c>
      <c r="AP34" s="16">
        <f t="shared" si="6"/>
        <v>0</v>
      </c>
      <c r="AQ34" s="16">
        <f t="shared" si="7"/>
        <v>0</v>
      </c>
      <c r="AR34" s="16">
        <f t="shared" si="8"/>
        <v>0</v>
      </c>
      <c r="AS34" s="16">
        <f t="shared" si="9"/>
        <v>0</v>
      </c>
      <c r="AT34" s="16">
        <f t="shared" si="10"/>
        <v>0</v>
      </c>
      <c r="AU34" s="16">
        <f t="shared" si="11"/>
        <v>0</v>
      </c>
      <c r="AV34" s="16">
        <f t="shared" si="24"/>
        <v>0</v>
      </c>
      <c r="AW34" s="16">
        <f t="shared" si="25"/>
        <v>0</v>
      </c>
      <c r="AX34" s="16">
        <f t="shared" si="26"/>
        <v>0</v>
      </c>
      <c r="AY34" s="16">
        <f t="shared" si="27"/>
        <v>0</v>
      </c>
      <c r="AZ34" s="16">
        <f t="shared" si="28"/>
        <v>0</v>
      </c>
      <c r="BA34" s="16">
        <f t="shared" si="29"/>
        <v>0</v>
      </c>
      <c r="BB34" s="16">
        <f t="shared" si="30"/>
        <v>0</v>
      </c>
      <c r="BC34" s="16">
        <f t="shared" si="31"/>
        <v>0</v>
      </c>
      <c r="BD34" s="16">
        <f t="shared" si="32"/>
        <v>0</v>
      </c>
      <c r="BE34" s="16">
        <f t="shared" si="33"/>
        <v>0</v>
      </c>
      <c r="BF34" s="16">
        <f t="shared" si="34"/>
        <v>0</v>
      </c>
      <c r="BG34" s="16">
        <f t="shared" si="35"/>
        <v>0</v>
      </c>
    </row>
    <row r="35" spans="1:59" ht="14.25" customHeight="1">
      <c r="A35" s="3">
        <v>31</v>
      </c>
      <c r="B35" s="4">
        <v>81</v>
      </c>
      <c r="C35" s="5" t="s">
        <v>33</v>
      </c>
      <c r="D35" s="9">
        <v>768</v>
      </c>
      <c r="E35" s="9">
        <v>1480</v>
      </c>
      <c r="F35" s="9">
        <v>2248</v>
      </c>
      <c r="G35" s="9">
        <v>14335</v>
      </c>
      <c r="H35" s="9">
        <v>3132</v>
      </c>
      <c r="I35" s="9">
        <v>17467</v>
      </c>
      <c r="J35" s="9">
        <v>9629</v>
      </c>
      <c r="K35" s="9">
        <v>1142</v>
      </c>
      <c r="L35" s="9">
        <v>10771</v>
      </c>
      <c r="M35" s="9">
        <v>5409</v>
      </c>
      <c r="N35" s="9">
        <v>1031</v>
      </c>
      <c r="O35" s="9">
        <v>6440</v>
      </c>
      <c r="P35" s="9">
        <v>2198</v>
      </c>
      <c r="Q35" s="9">
        <v>502</v>
      </c>
      <c r="R35" s="9">
        <v>2700</v>
      </c>
      <c r="S35" s="9">
        <v>135</v>
      </c>
      <c r="T35" s="9">
        <v>32</v>
      </c>
      <c r="U35" s="9">
        <v>167</v>
      </c>
      <c r="AP35" s="16">
        <f t="shared" si="6"/>
        <v>0</v>
      </c>
      <c r="AQ35" s="16">
        <f t="shared" si="7"/>
        <v>0</v>
      </c>
      <c r="AR35" s="16">
        <f t="shared" si="8"/>
        <v>0</v>
      </c>
      <c r="AS35" s="16">
        <f t="shared" si="9"/>
        <v>0</v>
      </c>
      <c r="AT35" s="16">
        <f t="shared" si="10"/>
        <v>0</v>
      </c>
      <c r="AU35" s="16">
        <f t="shared" si="11"/>
        <v>0</v>
      </c>
      <c r="AV35" s="16">
        <f t="shared" si="24"/>
        <v>0</v>
      </c>
      <c r="AW35" s="16">
        <f t="shared" si="25"/>
        <v>0</v>
      </c>
      <c r="AX35" s="16">
        <f t="shared" si="26"/>
        <v>0</v>
      </c>
      <c r="AY35" s="16">
        <f t="shared" si="27"/>
        <v>0</v>
      </c>
      <c r="AZ35" s="16">
        <f t="shared" si="28"/>
        <v>0</v>
      </c>
      <c r="BA35" s="16">
        <f t="shared" si="29"/>
        <v>0</v>
      </c>
      <c r="BB35" s="16">
        <f t="shared" si="30"/>
        <v>0</v>
      </c>
      <c r="BC35" s="16">
        <f t="shared" si="31"/>
        <v>0</v>
      </c>
      <c r="BD35" s="16">
        <f t="shared" si="32"/>
        <v>0</v>
      </c>
      <c r="BE35" s="16">
        <f t="shared" si="33"/>
        <v>0</v>
      </c>
      <c r="BF35" s="16">
        <f t="shared" si="34"/>
        <v>0</v>
      </c>
      <c r="BG35" s="16">
        <f t="shared" si="35"/>
        <v>0</v>
      </c>
    </row>
    <row r="36" spans="1:59" ht="14.25" customHeight="1">
      <c r="A36" s="3">
        <v>32</v>
      </c>
      <c r="B36" s="4">
        <v>82</v>
      </c>
      <c r="C36" s="5" t="s">
        <v>38</v>
      </c>
      <c r="D36" s="9">
        <v>840</v>
      </c>
      <c r="E36" s="9">
        <v>1016</v>
      </c>
      <c r="F36" s="9">
        <v>1856</v>
      </c>
      <c r="G36" s="9">
        <v>11406</v>
      </c>
      <c r="H36" s="9">
        <v>1133</v>
      </c>
      <c r="I36" s="9">
        <v>12539</v>
      </c>
      <c r="J36" s="9">
        <v>5819</v>
      </c>
      <c r="K36" s="9">
        <v>863</v>
      </c>
      <c r="L36" s="9">
        <v>6682</v>
      </c>
      <c r="M36" s="9">
        <v>3147</v>
      </c>
      <c r="N36" s="9">
        <v>598</v>
      </c>
      <c r="O36" s="9">
        <v>3745</v>
      </c>
      <c r="P36" s="9">
        <v>1262</v>
      </c>
      <c r="Q36" s="9">
        <v>633</v>
      </c>
      <c r="R36" s="9">
        <v>1895</v>
      </c>
      <c r="S36" s="9">
        <v>201</v>
      </c>
      <c r="T36" s="9">
        <v>61</v>
      </c>
      <c r="U36" s="9">
        <v>262</v>
      </c>
      <c r="AP36" s="16">
        <f t="shared" si="6"/>
        <v>0</v>
      </c>
      <c r="AQ36" s="16">
        <f t="shared" si="7"/>
        <v>0</v>
      </c>
      <c r="AR36" s="16">
        <f t="shared" si="8"/>
        <v>0</v>
      </c>
      <c r="AS36" s="16">
        <f t="shared" si="9"/>
        <v>0</v>
      </c>
      <c r="AT36" s="16">
        <f t="shared" si="10"/>
        <v>0</v>
      </c>
      <c r="AU36" s="16">
        <f t="shared" si="11"/>
        <v>0</v>
      </c>
      <c r="AV36" s="16">
        <f t="shared" si="24"/>
        <v>0</v>
      </c>
      <c r="AW36" s="16">
        <f t="shared" si="25"/>
        <v>0</v>
      </c>
      <c r="AX36" s="16">
        <f t="shared" si="26"/>
        <v>0</v>
      </c>
      <c r="AY36" s="16">
        <f t="shared" si="27"/>
        <v>0</v>
      </c>
      <c r="AZ36" s="16">
        <f t="shared" si="28"/>
        <v>0</v>
      </c>
      <c r="BA36" s="16">
        <f t="shared" si="29"/>
        <v>0</v>
      </c>
      <c r="BB36" s="16">
        <f t="shared" si="30"/>
        <v>0</v>
      </c>
      <c r="BC36" s="16">
        <f t="shared" si="31"/>
        <v>0</v>
      </c>
      <c r="BD36" s="16">
        <f t="shared" si="32"/>
        <v>0</v>
      </c>
      <c r="BE36" s="16">
        <f t="shared" si="33"/>
        <v>0</v>
      </c>
      <c r="BF36" s="16">
        <f t="shared" si="34"/>
        <v>0</v>
      </c>
      <c r="BG36" s="16">
        <f t="shared" si="35"/>
        <v>0</v>
      </c>
    </row>
    <row r="37" spans="1:59" ht="14.25" customHeight="1">
      <c r="A37" s="3">
        <v>33</v>
      </c>
      <c r="B37" s="4">
        <v>91</v>
      </c>
      <c r="C37" s="5" t="s">
        <v>45</v>
      </c>
      <c r="D37" s="9">
        <v>123</v>
      </c>
      <c r="E37" s="9">
        <v>793</v>
      </c>
      <c r="F37" s="9">
        <v>916</v>
      </c>
      <c r="G37" s="9">
        <v>4599</v>
      </c>
      <c r="H37" s="9">
        <v>2495</v>
      </c>
      <c r="I37" s="9">
        <v>7094</v>
      </c>
      <c r="J37" s="9">
        <v>2917</v>
      </c>
      <c r="K37" s="9">
        <v>784</v>
      </c>
      <c r="L37" s="9">
        <v>3701</v>
      </c>
      <c r="M37" s="9">
        <v>1557</v>
      </c>
      <c r="N37" s="9">
        <v>716</v>
      </c>
      <c r="O37" s="9">
        <v>2273</v>
      </c>
      <c r="P37" s="9">
        <v>948</v>
      </c>
      <c r="Q37" s="9">
        <v>283</v>
      </c>
      <c r="R37" s="9">
        <v>1231</v>
      </c>
      <c r="S37" s="9">
        <v>56</v>
      </c>
      <c r="T37" s="9">
        <v>10</v>
      </c>
      <c r="U37" s="9">
        <v>66</v>
      </c>
      <c r="AP37" s="16">
        <f t="shared" si="6"/>
        <v>0</v>
      </c>
      <c r="AQ37" s="16">
        <f t="shared" si="7"/>
        <v>0</v>
      </c>
      <c r="AR37" s="16">
        <f t="shared" si="8"/>
        <v>0</v>
      </c>
      <c r="AS37" s="16">
        <f t="shared" si="9"/>
        <v>0</v>
      </c>
      <c r="AT37" s="16">
        <f t="shared" si="10"/>
        <v>0</v>
      </c>
      <c r="AU37" s="16">
        <f t="shared" si="11"/>
        <v>0</v>
      </c>
      <c r="AV37" s="16">
        <f t="shared" si="24"/>
        <v>0</v>
      </c>
      <c r="AW37" s="16">
        <f t="shared" si="25"/>
        <v>0</v>
      </c>
      <c r="AX37" s="16">
        <f t="shared" si="26"/>
        <v>0</v>
      </c>
      <c r="AY37" s="16">
        <f t="shared" si="27"/>
        <v>0</v>
      </c>
      <c r="AZ37" s="16">
        <f t="shared" si="28"/>
        <v>0</v>
      </c>
      <c r="BA37" s="16">
        <f t="shared" si="29"/>
        <v>0</v>
      </c>
      <c r="BB37" s="16">
        <f t="shared" si="30"/>
        <v>0</v>
      </c>
      <c r="BC37" s="16">
        <f t="shared" si="31"/>
        <v>0</v>
      </c>
      <c r="BD37" s="16">
        <f t="shared" si="32"/>
        <v>0</v>
      </c>
      <c r="BE37" s="16">
        <f t="shared" si="33"/>
        <v>0</v>
      </c>
      <c r="BF37" s="16">
        <f t="shared" si="34"/>
        <v>0</v>
      </c>
      <c r="BG37" s="16">
        <f t="shared" si="35"/>
        <v>0</v>
      </c>
    </row>
    <row r="38" spans="1:59" ht="14.25" customHeight="1">
      <c r="A38" s="3">
        <v>34</v>
      </c>
      <c r="B38" s="4">
        <v>92</v>
      </c>
      <c r="C38" s="5" t="s">
        <v>46</v>
      </c>
      <c r="D38" s="9">
        <v>204</v>
      </c>
      <c r="E38" s="9">
        <v>572</v>
      </c>
      <c r="F38" s="9">
        <v>776</v>
      </c>
      <c r="G38" s="9">
        <v>3991</v>
      </c>
      <c r="H38" s="9">
        <v>1345</v>
      </c>
      <c r="I38" s="9">
        <v>5336</v>
      </c>
      <c r="J38" s="9">
        <v>1868</v>
      </c>
      <c r="K38" s="9">
        <v>473</v>
      </c>
      <c r="L38" s="9">
        <v>2341</v>
      </c>
      <c r="M38" s="9">
        <v>1038</v>
      </c>
      <c r="N38" s="9">
        <v>312</v>
      </c>
      <c r="O38" s="9">
        <v>1350</v>
      </c>
      <c r="P38" s="9">
        <v>529</v>
      </c>
      <c r="Q38" s="9">
        <v>94</v>
      </c>
      <c r="R38" s="9">
        <v>623</v>
      </c>
      <c r="S38" s="9">
        <v>12</v>
      </c>
      <c r="T38" s="9">
        <v>0</v>
      </c>
      <c r="U38" s="9">
        <v>12</v>
      </c>
      <c r="AP38" s="16">
        <f t="shared" si="6"/>
        <v>0</v>
      </c>
      <c r="AQ38" s="16">
        <f t="shared" si="7"/>
        <v>0</v>
      </c>
      <c r="AR38" s="16">
        <f t="shared" si="8"/>
        <v>0</v>
      </c>
      <c r="AS38" s="16">
        <f t="shared" si="9"/>
        <v>0</v>
      </c>
      <c r="AT38" s="16">
        <f t="shared" si="10"/>
        <v>0</v>
      </c>
      <c r="AU38" s="16">
        <f t="shared" si="11"/>
        <v>0</v>
      </c>
      <c r="AV38" s="16">
        <f t="shared" si="24"/>
        <v>0</v>
      </c>
      <c r="AW38" s="16">
        <f t="shared" si="25"/>
        <v>0</v>
      </c>
      <c r="AX38" s="16">
        <f t="shared" si="26"/>
        <v>0</v>
      </c>
      <c r="AY38" s="16">
        <f t="shared" si="27"/>
        <v>0</v>
      </c>
      <c r="AZ38" s="16">
        <f t="shared" si="28"/>
        <v>0</v>
      </c>
      <c r="BA38" s="16">
        <f t="shared" si="29"/>
        <v>0</v>
      </c>
      <c r="BB38" s="16">
        <f t="shared" si="30"/>
        <v>0</v>
      </c>
      <c r="BC38" s="16">
        <f t="shared" si="31"/>
        <v>0</v>
      </c>
      <c r="BD38" s="16">
        <f t="shared" si="32"/>
        <v>0</v>
      </c>
      <c r="BE38" s="16">
        <f t="shared" si="33"/>
        <v>0</v>
      </c>
      <c r="BF38" s="16" t="e">
        <f t="shared" si="34"/>
        <v>#DIV/0!</v>
      </c>
      <c r="BG38" s="16">
        <f t="shared" si="35"/>
        <v>0</v>
      </c>
    </row>
    <row r="39" spans="1:59" ht="14.25" customHeight="1">
      <c r="A39" s="3">
        <v>35</v>
      </c>
      <c r="B39" s="4">
        <v>93</v>
      </c>
      <c r="C39" s="5" t="s">
        <v>49</v>
      </c>
      <c r="D39" s="9">
        <v>269</v>
      </c>
      <c r="E39" s="9">
        <v>468</v>
      </c>
      <c r="F39" s="9">
        <v>737</v>
      </c>
      <c r="G39" s="9">
        <v>2772</v>
      </c>
      <c r="H39" s="9">
        <v>1408</v>
      </c>
      <c r="I39" s="9">
        <v>4180</v>
      </c>
      <c r="J39" s="9">
        <v>1556</v>
      </c>
      <c r="K39" s="9">
        <v>393</v>
      </c>
      <c r="L39" s="9">
        <v>1949</v>
      </c>
      <c r="M39" s="9">
        <v>690</v>
      </c>
      <c r="N39" s="9">
        <v>203</v>
      </c>
      <c r="O39" s="9">
        <v>893</v>
      </c>
      <c r="P39" s="9">
        <v>598</v>
      </c>
      <c r="Q39" s="9">
        <v>62</v>
      </c>
      <c r="R39" s="9">
        <v>660</v>
      </c>
      <c r="S39" s="9">
        <v>24</v>
      </c>
      <c r="T39" s="9">
        <v>3</v>
      </c>
      <c r="U39" s="9">
        <v>27</v>
      </c>
      <c r="AP39" s="16">
        <f t="shared" si="6"/>
        <v>0</v>
      </c>
      <c r="AQ39" s="16">
        <f t="shared" si="7"/>
        <v>0</v>
      </c>
      <c r="AR39" s="16">
        <f t="shared" si="8"/>
        <v>0</v>
      </c>
      <c r="AS39" s="16">
        <f t="shared" si="9"/>
        <v>0</v>
      </c>
      <c r="AT39" s="16">
        <f t="shared" si="10"/>
        <v>0</v>
      </c>
      <c r="AU39" s="16">
        <f t="shared" si="11"/>
        <v>0</v>
      </c>
      <c r="AV39" s="16">
        <f t="shared" si="24"/>
        <v>0</v>
      </c>
      <c r="AW39" s="16">
        <f t="shared" si="25"/>
        <v>0</v>
      </c>
      <c r="AX39" s="16">
        <f t="shared" si="26"/>
        <v>0</v>
      </c>
      <c r="AY39" s="16">
        <f t="shared" si="27"/>
        <v>0</v>
      </c>
      <c r="AZ39" s="16">
        <f t="shared" si="28"/>
        <v>0</v>
      </c>
      <c r="BA39" s="16">
        <f t="shared" si="29"/>
        <v>0</v>
      </c>
      <c r="BB39" s="16">
        <f t="shared" si="30"/>
        <v>0</v>
      </c>
      <c r="BC39" s="16">
        <f t="shared" si="31"/>
        <v>0</v>
      </c>
      <c r="BD39" s="16">
        <f t="shared" si="32"/>
        <v>0</v>
      </c>
      <c r="BE39" s="16">
        <f t="shared" si="33"/>
        <v>0</v>
      </c>
      <c r="BF39" s="16">
        <f t="shared" si="34"/>
        <v>0</v>
      </c>
      <c r="BG39" s="16">
        <f t="shared" si="35"/>
        <v>0</v>
      </c>
    </row>
    <row r="40" spans="1:59" ht="14.25" customHeight="1">
      <c r="A40" s="3">
        <v>36</v>
      </c>
      <c r="B40" s="4">
        <v>94</v>
      </c>
      <c r="C40" s="5" t="s">
        <v>50</v>
      </c>
      <c r="D40" s="9">
        <v>225</v>
      </c>
      <c r="E40" s="9">
        <v>661</v>
      </c>
      <c r="F40" s="9">
        <v>886</v>
      </c>
      <c r="G40" s="9">
        <v>3091</v>
      </c>
      <c r="H40" s="9">
        <v>2074</v>
      </c>
      <c r="I40" s="9">
        <v>5165</v>
      </c>
      <c r="J40" s="9">
        <v>1685</v>
      </c>
      <c r="K40" s="9">
        <v>686</v>
      </c>
      <c r="L40" s="9">
        <v>2371</v>
      </c>
      <c r="M40" s="9">
        <v>762</v>
      </c>
      <c r="N40" s="9">
        <v>341</v>
      </c>
      <c r="O40" s="9">
        <v>1103</v>
      </c>
      <c r="P40" s="9">
        <v>513</v>
      </c>
      <c r="Q40" s="9">
        <v>435</v>
      </c>
      <c r="R40" s="9">
        <v>948</v>
      </c>
      <c r="S40" s="9">
        <v>12</v>
      </c>
      <c r="T40" s="9">
        <v>18</v>
      </c>
      <c r="U40" s="9">
        <v>30</v>
      </c>
      <c r="AP40" s="16">
        <f t="shared" si="6"/>
        <v>0</v>
      </c>
      <c r="AQ40" s="16">
        <f t="shared" si="7"/>
        <v>0</v>
      </c>
      <c r="AR40" s="16">
        <f t="shared" si="8"/>
        <v>0</v>
      </c>
      <c r="AS40" s="16">
        <f t="shared" si="9"/>
        <v>0</v>
      </c>
      <c r="AT40" s="16">
        <f t="shared" si="10"/>
        <v>0</v>
      </c>
      <c r="AU40" s="16">
        <f t="shared" si="11"/>
        <v>0</v>
      </c>
      <c r="AV40" s="16">
        <f t="shared" si="24"/>
        <v>0</v>
      </c>
      <c r="AW40" s="16">
        <f t="shared" si="25"/>
        <v>0</v>
      </c>
      <c r="AX40" s="16">
        <f t="shared" si="26"/>
        <v>0</v>
      </c>
      <c r="AY40" s="16">
        <f t="shared" si="27"/>
        <v>0</v>
      </c>
      <c r="AZ40" s="16">
        <f t="shared" si="28"/>
        <v>0</v>
      </c>
      <c r="BA40" s="16">
        <f t="shared" si="29"/>
        <v>0</v>
      </c>
      <c r="BB40" s="16">
        <f t="shared" si="30"/>
        <v>0</v>
      </c>
      <c r="BC40" s="16">
        <f t="shared" si="31"/>
        <v>0</v>
      </c>
      <c r="BD40" s="16">
        <f t="shared" si="32"/>
        <v>0</v>
      </c>
      <c r="BE40" s="16">
        <f t="shared" si="33"/>
        <v>0</v>
      </c>
      <c r="BF40" s="16">
        <f t="shared" si="34"/>
        <v>0</v>
      </c>
      <c r="BG40" s="16">
        <f t="shared" si="35"/>
        <v>0</v>
      </c>
    </row>
    <row r="41" spans="1:59" ht="14.25" customHeight="1">
      <c r="A41" s="3">
        <v>37</v>
      </c>
      <c r="B41" s="4">
        <v>95</v>
      </c>
      <c r="C41" s="5" t="s">
        <v>48</v>
      </c>
      <c r="D41" s="9">
        <v>69</v>
      </c>
      <c r="E41" s="9">
        <v>214</v>
      </c>
      <c r="F41" s="9">
        <v>283</v>
      </c>
      <c r="G41" s="9">
        <v>3153</v>
      </c>
      <c r="H41" s="9">
        <v>942</v>
      </c>
      <c r="I41" s="9">
        <v>4095</v>
      </c>
      <c r="J41" s="9">
        <v>1559</v>
      </c>
      <c r="K41" s="9">
        <v>332</v>
      </c>
      <c r="L41" s="9">
        <v>1891</v>
      </c>
      <c r="M41" s="9">
        <v>620</v>
      </c>
      <c r="N41" s="9">
        <v>232</v>
      </c>
      <c r="O41" s="9">
        <v>852</v>
      </c>
      <c r="P41" s="9">
        <v>137</v>
      </c>
      <c r="Q41" s="9">
        <v>118</v>
      </c>
      <c r="R41" s="9">
        <v>255</v>
      </c>
      <c r="S41" s="9">
        <v>0</v>
      </c>
      <c r="T41" s="9">
        <v>0</v>
      </c>
      <c r="U41" s="9">
        <v>0</v>
      </c>
      <c r="AP41" s="16">
        <f t="shared" si="6"/>
        <v>0</v>
      </c>
      <c r="AQ41" s="16">
        <f t="shared" si="7"/>
        <v>0</v>
      </c>
      <c r="AR41" s="16">
        <f t="shared" si="8"/>
        <v>0</v>
      </c>
      <c r="AS41" s="16">
        <f t="shared" si="9"/>
        <v>0</v>
      </c>
      <c r="AT41" s="16">
        <f t="shared" si="10"/>
        <v>0</v>
      </c>
      <c r="AU41" s="16">
        <f t="shared" si="11"/>
        <v>0</v>
      </c>
      <c r="AV41" s="16">
        <f t="shared" si="24"/>
        <v>0</v>
      </c>
      <c r="AW41" s="16">
        <f t="shared" si="25"/>
        <v>0</v>
      </c>
      <c r="AX41" s="16">
        <f t="shared" si="26"/>
        <v>0</v>
      </c>
      <c r="AY41" s="16">
        <f t="shared" si="27"/>
        <v>0</v>
      </c>
      <c r="AZ41" s="16">
        <f t="shared" si="28"/>
        <v>0</v>
      </c>
      <c r="BA41" s="16">
        <f t="shared" si="29"/>
        <v>0</v>
      </c>
      <c r="BB41" s="16">
        <f t="shared" si="30"/>
        <v>0</v>
      </c>
      <c r="BC41" s="16">
        <f t="shared" si="31"/>
        <v>0</v>
      </c>
      <c r="BD41" s="16">
        <f t="shared" si="32"/>
        <v>0</v>
      </c>
      <c r="BE41" s="16" t="e">
        <f t="shared" si="33"/>
        <v>#DIV/0!</v>
      </c>
      <c r="BF41" s="16" t="e">
        <f t="shared" si="34"/>
        <v>#DIV/0!</v>
      </c>
      <c r="BG41" s="16" t="e">
        <f t="shared" si="35"/>
        <v>#DIV/0!</v>
      </c>
    </row>
    <row r="42" spans="1:59" ht="14.25" customHeight="1">
      <c r="A42" s="3">
        <v>38</v>
      </c>
      <c r="B42" s="4">
        <v>96</v>
      </c>
      <c r="C42" s="5" t="s">
        <v>47</v>
      </c>
      <c r="D42" s="9">
        <v>105</v>
      </c>
      <c r="E42" s="9">
        <v>348</v>
      </c>
      <c r="F42" s="9">
        <v>453</v>
      </c>
      <c r="G42" s="9">
        <v>3579</v>
      </c>
      <c r="H42" s="9">
        <v>1444</v>
      </c>
      <c r="I42" s="9">
        <v>5023</v>
      </c>
      <c r="J42" s="9">
        <v>1932</v>
      </c>
      <c r="K42" s="9">
        <v>478</v>
      </c>
      <c r="L42" s="9">
        <v>2410</v>
      </c>
      <c r="M42" s="9">
        <v>1096</v>
      </c>
      <c r="N42" s="9">
        <v>342</v>
      </c>
      <c r="O42" s="9">
        <v>1438</v>
      </c>
      <c r="P42" s="9">
        <v>552</v>
      </c>
      <c r="Q42" s="9">
        <v>249</v>
      </c>
      <c r="R42" s="9">
        <v>801</v>
      </c>
      <c r="S42" s="9">
        <v>47</v>
      </c>
      <c r="T42" s="9">
        <v>0</v>
      </c>
      <c r="U42" s="9">
        <v>47</v>
      </c>
      <c r="AP42" s="16">
        <f t="shared" si="6"/>
        <v>0</v>
      </c>
      <c r="AQ42" s="16">
        <f t="shared" si="7"/>
        <v>0</v>
      </c>
      <c r="AR42" s="16">
        <f t="shared" si="8"/>
        <v>0</v>
      </c>
      <c r="AS42" s="16">
        <f t="shared" si="9"/>
        <v>0</v>
      </c>
      <c r="AT42" s="16">
        <f t="shared" si="10"/>
        <v>0</v>
      </c>
      <c r="AU42" s="16">
        <f t="shared" si="11"/>
        <v>0</v>
      </c>
      <c r="AV42" s="16">
        <f t="shared" si="24"/>
        <v>0</v>
      </c>
      <c r="AW42" s="16">
        <f t="shared" si="25"/>
        <v>0</v>
      </c>
      <c r="AX42" s="16">
        <f t="shared" si="26"/>
        <v>0</v>
      </c>
      <c r="AY42" s="16">
        <f t="shared" si="27"/>
        <v>0</v>
      </c>
      <c r="AZ42" s="16">
        <f t="shared" si="28"/>
        <v>0</v>
      </c>
      <c r="BA42" s="16">
        <f t="shared" si="29"/>
        <v>0</v>
      </c>
      <c r="BB42" s="16">
        <f t="shared" si="30"/>
        <v>0</v>
      </c>
      <c r="BC42" s="16">
        <f t="shared" si="31"/>
        <v>0</v>
      </c>
      <c r="BD42" s="16">
        <f t="shared" si="32"/>
        <v>0</v>
      </c>
      <c r="BE42" s="16">
        <f t="shared" si="33"/>
        <v>0</v>
      </c>
      <c r="BF42" s="16" t="e">
        <f t="shared" si="34"/>
        <v>#DIV/0!</v>
      </c>
      <c r="BG42" s="16">
        <f t="shared" si="35"/>
        <v>0</v>
      </c>
    </row>
    <row r="43" spans="1:59" ht="14.25" customHeight="1">
      <c r="A43" s="6">
        <v>39</v>
      </c>
      <c r="B43" s="7" t="s">
        <v>57</v>
      </c>
      <c r="C43" s="8" t="s">
        <v>51</v>
      </c>
      <c r="D43" s="9">
        <v>12</v>
      </c>
      <c r="E43" s="9">
        <v>2</v>
      </c>
      <c r="F43" s="9">
        <v>14</v>
      </c>
      <c r="G43" s="9">
        <v>366</v>
      </c>
      <c r="H43" s="9">
        <v>109</v>
      </c>
      <c r="I43" s="9">
        <v>475</v>
      </c>
      <c r="J43" s="9">
        <v>167</v>
      </c>
      <c r="K43" s="9">
        <v>48</v>
      </c>
      <c r="L43" s="9">
        <v>215</v>
      </c>
      <c r="M43" s="9">
        <v>89</v>
      </c>
      <c r="N43" s="9">
        <v>15</v>
      </c>
      <c r="O43" s="9">
        <v>104</v>
      </c>
      <c r="P43" s="9">
        <v>6</v>
      </c>
      <c r="Q43" s="9">
        <v>0</v>
      </c>
      <c r="R43" s="9">
        <v>6</v>
      </c>
      <c r="S43" s="9">
        <v>0</v>
      </c>
      <c r="T43" s="9">
        <v>0</v>
      </c>
      <c r="U43" s="9">
        <v>0</v>
      </c>
      <c r="AP43" s="16">
        <f t="shared" si="6"/>
        <v>0</v>
      </c>
      <c r="AQ43" s="16">
        <f t="shared" si="7"/>
        <v>0</v>
      </c>
      <c r="AR43" s="16">
        <f t="shared" si="8"/>
        <v>0</v>
      </c>
      <c r="AS43" s="16">
        <f t="shared" si="9"/>
        <v>0</v>
      </c>
      <c r="AT43" s="16">
        <f t="shared" si="10"/>
        <v>0</v>
      </c>
      <c r="AU43" s="16">
        <f t="shared" si="11"/>
        <v>0</v>
      </c>
      <c r="AV43" s="16">
        <f t="shared" si="24"/>
        <v>0</v>
      </c>
      <c r="AW43" s="16">
        <f t="shared" si="25"/>
        <v>0</v>
      </c>
      <c r="AX43" s="16">
        <f t="shared" si="26"/>
        <v>0</v>
      </c>
      <c r="AY43" s="16">
        <f t="shared" si="27"/>
        <v>0</v>
      </c>
      <c r="AZ43" s="16">
        <f t="shared" si="28"/>
        <v>0</v>
      </c>
      <c r="BA43" s="16">
        <f t="shared" si="29"/>
        <v>0</v>
      </c>
      <c r="BB43" s="16">
        <f t="shared" si="30"/>
        <v>0</v>
      </c>
      <c r="BC43" s="16" t="e">
        <f t="shared" si="31"/>
        <v>#DIV/0!</v>
      </c>
      <c r="BD43" s="16">
        <f t="shared" si="32"/>
        <v>0</v>
      </c>
      <c r="BE43" s="16" t="e">
        <f t="shared" si="33"/>
        <v>#DIV/0!</v>
      </c>
      <c r="BF43" s="16" t="e">
        <f t="shared" si="34"/>
        <v>#DIV/0!</v>
      </c>
      <c r="BG43" s="16" t="e">
        <f t="shared" si="35"/>
        <v>#DIV/0!</v>
      </c>
    </row>
    <row r="44" spans="1:59" ht="14.25" customHeight="1">
      <c r="A44" s="20"/>
      <c r="B44" s="19"/>
      <c r="C44" s="5" t="s">
        <v>52</v>
      </c>
      <c r="D44" s="9">
        <f t="shared" ref="D44:U44" si="36">SUM(D5:D43)</f>
        <v>34886</v>
      </c>
      <c r="E44" s="9">
        <f t="shared" si="36"/>
        <v>247399</v>
      </c>
      <c r="F44" s="9">
        <f t="shared" si="36"/>
        <v>282285</v>
      </c>
      <c r="G44" s="10">
        <f t="shared" si="36"/>
        <v>1284316</v>
      </c>
      <c r="H44" s="10">
        <f t="shared" si="36"/>
        <v>238207</v>
      </c>
      <c r="I44" s="10">
        <f t="shared" si="36"/>
        <v>1522523</v>
      </c>
      <c r="J44" s="10">
        <f t="shared" si="36"/>
        <v>500253</v>
      </c>
      <c r="K44" s="10">
        <f t="shared" si="36"/>
        <v>185602</v>
      </c>
      <c r="L44" s="10">
        <f t="shared" si="36"/>
        <v>685855</v>
      </c>
      <c r="M44" s="10">
        <f t="shared" si="36"/>
        <v>253453</v>
      </c>
      <c r="N44" s="10">
        <f t="shared" si="36"/>
        <v>95634</v>
      </c>
      <c r="O44" s="10">
        <f t="shared" si="36"/>
        <v>349087</v>
      </c>
      <c r="P44" s="10">
        <f t="shared" si="36"/>
        <v>171703</v>
      </c>
      <c r="Q44" s="10">
        <f t="shared" si="36"/>
        <v>158346</v>
      </c>
      <c r="R44" s="10">
        <f t="shared" si="36"/>
        <v>330049</v>
      </c>
      <c r="S44" s="10">
        <f t="shared" si="36"/>
        <v>14527</v>
      </c>
      <c r="T44" s="10">
        <f t="shared" si="36"/>
        <v>13954</v>
      </c>
      <c r="U44" s="10">
        <f t="shared" si="36"/>
        <v>28481</v>
      </c>
      <c r="AP44" s="16">
        <f t="shared" si="6"/>
        <v>0</v>
      </c>
      <c r="AQ44" s="16">
        <f t="shared" si="7"/>
        <v>0</v>
      </c>
      <c r="AR44" s="16">
        <f t="shared" si="8"/>
        <v>0</v>
      </c>
      <c r="AS44" s="16">
        <f t="shared" si="9"/>
        <v>0</v>
      </c>
      <c r="AT44" s="16">
        <f t="shared" si="10"/>
        <v>0</v>
      </c>
      <c r="AU44" s="16">
        <f t="shared" si="11"/>
        <v>0</v>
      </c>
      <c r="AV44" s="16">
        <f t="shared" si="24"/>
        <v>0</v>
      </c>
      <c r="AW44" s="16">
        <f t="shared" si="25"/>
        <v>0</v>
      </c>
      <c r="AX44" s="16">
        <f t="shared" si="26"/>
        <v>0</v>
      </c>
      <c r="AY44" s="16">
        <f t="shared" si="27"/>
        <v>0</v>
      </c>
      <c r="AZ44" s="16">
        <f t="shared" si="28"/>
        <v>0</v>
      </c>
      <c r="BA44" s="16">
        <f t="shared" si="29"/>
        <v>0</v>
      </c>
      <c r="BB44" s="16">
        <f t="shared" si="30"/>
        <v>0</v>
      </c>
      <c r="BC44" s="16">
        <f t="shared" si="31"/>
        <v>0</v>
      </c>
      <c r="BD44" s="16">
        <f t="shared" si="32"/>
        <v>0</v>
      </c>
      <c r="BE44" s="16">
        <f t="shared" si="33"/>
        <v>0</v>
      </c>
      <c r="BF44" s="16">
        <f t="shared" si="34"/>
        <v>0</v>
      </c>
      <c r="BG44" s="16">
        <f t="shared" si="35"/>
        <v>0</v>
      </c>
    </row>
    <row r="45" spans="1:59" ht="14.25" customHeight="1"/>
    <row r="46" spans="1:59" ht="14.25" customHeight="1"/>
    <row r="47" spans="1:59" ht="14.25" customHeight="1"/>
    <row r="48" spans="1:5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sortState xmlns:xlrd2="http://schemas.microsoft.com/office/spreadsheetml/2017/richdata2" ref="B5:U42">
    <sortCondition ref="B5:B42"/>
  </sortState>
  <mergeCells count="10">
    <mergeCell ref="J3:L3"/>
    <mergeCell ref="M3:O3"/>
    <mergeCell ref="A44:B44"/>
    <mergeCell ref="P3:R3"/>
    <mergeCell ref="S3:U3"/>
    <mergeCell ref="D3:F3"/>
    <mergeCell ref="G3:I3"/>
    <mergeCell ref="A3:A4"/>
    <mergeCell ref="B3:B4"/>
    <mergeCell ref="C3:C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workbookViewId="0">
      <selection activeCell="B5" sqref="B5"/>
    </sheetView>
  </sheetViews>
  <sheetFormatPr defaultColWidth="14.42578125" defaultRowHeight="15" customHeight="1"/>
  <cols>
    <col min="1" max="1" width="20.5703125" customWidth="1"/>
    <col min="2" max="2" width="83.140625" customWidth="1"/>
    <col min="3" max="26" width="8.7109375" customWidth="1"/>
  </cols>
  <sheetData>
    <row r="1" spans="1:2" ht="14.25" customHeight="1"/>
    <row r="2" spans="1:2" ht="14.25" customHeight="1">
      <c r="A2" s="26" t="s">
        <v>53</v>
      </c>
      <c r="B2" s="26" t="s">
        <v>69</v>
      </c>
    </row>
    <row r="3" spans="1:2" ht="14.25" customHeight="1">
      <c r="A3" s="27"/>
      <c r="B3" s="27"/>
    </row>
    <row r="4" spans="1:2" ht="14.25" customHeight="1">
      <c r="A4" s="28"/>
      <c r="B4" s="28"/>
    </row>
    <row r="5" spans="1:2" ht="30">
      <c r="A5" s="11" t="s">
        <v>54</v>
      </c>
      <c r="B5" s="12" t="s">
        <v>70</v>
      </c>
    </row>
    <row r="6" spans="1:2" ht="14.25" customHeight="1">
      <c r="A6" s="11" t="s">
        <v>55</v>
      </c>
      <c r="B6" s="13" t="s">
        <v>71</v>
      </c>
    </row>
    <row r="7" spans="1:2" ht="14.25" customHeight="1">
      <c r="A7" s="11" t="s">
        <v>56</v>
      </c>
      <c r="B7" s="14" t="s">
        <v>57</v>
      </c>
    </row>
    <row r="8" spans="1:2" ht="14.25" customHeight="1">
      <c r="A8" s="11" t="s">
        <v>58</v>
      </c>
      <c r="B8" s="13" t="s">
        <v>59</v>
      </c>
    </row>
    <row r="9" spans="1:2" ht="14.25" customHeight="1">
      <c r="A9" s="11" t="s">
        <v>60</v>
      </c>
      <c r="B9" s="12" t="s">
        <v>61</v>
      </c>
    </row>
    <row r="10" spans="1:2" ht="14.25" customHeight="1">
      <c r="A10" s="11" t="s">
        <v>62</v>
      </c>
      <c r="B10" s="12" t="s">
        <v>12</v>
      </c>
    </row>
    <row r="11" spans="1:2" ht="14.25" customHeight="1">
      <c r="A11" s="11" t="s">
        <v>63</v>
      </c>
      <c r="B11" s="12" t="s">
        <v>64</v>
      </c>
    </row>
    <row r="12" spans="1:2" ht="14.25" customHeight="1">
      <c r="A12" s="11" t="s">
        <v>65</v>
      </c>
      <c r="B12" s="12" t="s">
        <v>72</v>
      </c>
    </row>
    <row r="13" spans="1:2" ht="14.25" customHeight="1">
      <c r="A13" s="15"/>
      <c r="B13" s="12" t="s">
        <v>3</v>
      </c>
    </row>
    <row r="14" spans="1:2" ht="14.25" customHeight="1">
      <c r="A14" s="29" t="s">
        <v>66</v>
      </c>
      <c r="B14" s="12" t="s">
        <v>2</v>
      </c>
    </row>
    <row r="15" spans="1:2" ht="14.25" customHeight="1">
      <c r="A15" s="27"/>
      <c r="B15" s="12" t="s">
        <v>67</v>
      </c>
    </row>
    <row r="16" spans="1:2" ht="14.25" customHeight="1">
      <c r="A16" s="28"/>
      <c r="B16" s="12" t="s">
        <v>68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">
    <mergeCell ref="A2:A4"/>
    <mergeCell ref="B2:B4"/>
    <mergeCell ref="A14:A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2026-02-20T05:02:52Z</dcterms:modified>
</cp:coreProperties>
</file>